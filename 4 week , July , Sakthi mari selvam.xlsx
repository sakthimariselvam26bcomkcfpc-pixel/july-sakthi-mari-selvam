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4a82e60b99fcdd/Desktop/"/>
    </mc:Choice>
  </mc:AlternateContent>
  <xr:revisionPtr revIDLastSave="0" documentId="8_{BA6F17D0-280B-46FC-8792-934875DB90DB}" xr6:coauthVersionLast="47" xr6:coauthVersionMax="47" xr10:uidLastSave="{00000000-0000-0000-0000-000000000000}"/>
  <bookViews>
    <workbookView xWindow="-108" yWindow="-108" windowWidth="23256" windowHeight="12456" activeTab="5" xr2:uid="{0BFA7C0A-6B27-4F1F-93B9-BCBE75F137D9}"/>
  </bookViews>
  <sheets>
    <sheet name="transaction" sheetId="1" r:id="rId1"/>
    <sheet name="journal" sheetId="2" r:id="rId2"/>
    <sheet name="ledger" sheetId="3" r:id="rId3"/>
    <sheet name="Trial" sheetId="4" r:id="rId4"/>
    <sheet name="income and expenditure" sheetId="5" r:id="rId5"/>
    <sheet name="Balance she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3" l="1"/>
  <c r="H23" i="3"/>
  <c r="C28" i="4"/>
  <c r="C25" i="3"/>
</calcChain>
</file>

<file path=xl/sharedStrings.xml><?xml version="1.0" encoding="utf-8"?>
<sst xmlns="http://schemas.openxmlformats.org/spreadsheetml/2006/main" count="482" uniqueCount="184">
  <si>
    <t>Date</t>
  </si>
  <si>
    <t>Transaction</t>
  </si>
  <si>
    <t>Amount (₹)</t>
  </si>
  <si>
    <t>Received salary in cash</t>
  </si>
  <si>
    <t>Paid grocery expenses in cash</t>
  </si>
  <si>
    <t>Paid travel expenses through bank</t>
  </si>
  <si>
    <t>Paid food expenses</t>
  </si>
  <si>
    <t>Paid mobile recharge through bank</t>
  </si>
  <si>
    <t>Received freelance income in cash</t>
  </si>
  <si>
    <t>Paid electricity expense through bank</t>
  </si>
  <si>
    <t>Week 2</t>
  </si>
  <si>
    <t>Purchased goods for cash</t>
  </si>
  <si>
    <t>Sold goods for cash</t>
  </si>
  <si>
    <t>Paid transport expenses in cash</t>
  </si>
  <si>
    <t>Paid office expenses in cash</t>
  </si>
  <si>
    <t>Received payment from customer</t>
  </si>
  <si>
    <t>Paid supplier in cash</t>
  </si>
  <si>
    <t>Paid miscellaneous expenses in cash</t>
  </si>
  <si>
    <t>Week3</t>
  </si>
  <si>
    <t>Paid rent in cash</t>
  </si>
  <si>
    <t>Purchased stationery for cash</t>
  </si>
  <si>
    <t>Received commission income in cash</t>
  </si>
  <si>
    <t>Paid electricity bill through bank</t>
  </si>
  <si>
    <t>Paid telephone bill through bank</t>
  </si>
  <si>
    <t>Week 4</t>
  </si>
  <si>
    <t xml:space="preserve">Paid mobile recharge </t>
  </si>
  <si>
    <t>paid petrol charges</t>
  </si>
  <si>
    <t>purchase vegetable for cash</t>
  </si>
  <si>
    <t>purchase Groceries for cash</t>
  </si>
  <si>
    <t>purchase fish for cash</t>
  </si>
  <si>
    <t xml:space="preserve">In the book of  journal entries for the month ended july </t>
  </si>
  <si>
    <t>Particulars</t>
  </si>
  <si>
    <t>Debit (₹)</t>
  </si>
  <si>
    <t>Credit (₹)</t>
  </si>
  <si>
    <t>Cash A/c Dr.</t>
  </si>
  <si>
    <t>To Salary Income A/c</t>
  </si>
  <si>
    <t>Grocery Expenses A/c Dr.</t>
  </si>
  <si>
    <t>To Cash A/c</t>
  </si>
  <si>
    <t>Travel Expenses A/c Dr.</t>
  </si>
  <si>
    <t>To Bank A/c</t>
  </si>
  <si>
    <t>Food Expenses A/c Dr.</t>
  </si>
  <si>
    <t>Mobile Recharge Expenses A/c Dr.</t>
  </si>
  <si>
    <t>To Freelance Income A/c</t>
  </si>
  <si>
    <t>Electricity Expenses A/c Dr.</t>
  </si>
  <si>
    <t>Purchases A/c Dr.</t>
  </si>
  <si>
    <t>To Sales A/c</t>
  </si>
  <si>
    <t>Transport Expenses A/c Dr.</t>
  </si>
  <si>
    <t>Office Expenses A/c Dr.</t>
  </si>
  <si>
    <t>To Customer A/c</t>
  </si>
  <si>
    <t>Supplier A/c Dr.</t>
  </si>
  <si>
    <t>Miscellaneous Expenses A/c Dr.</t>
  </si>
  <si>
    <t>Rent Expenses A/c Dr.</t>
  </si>
  <si>
    <t>Stationery Expenses A/c Dr.</t>
  </si>
  <si>
    <t>To Commission Income A/c</t>
  </si>
  <si>
    <t>Telephone Expenses A/c Dr.</t>
  </si>
  <si>
    <t>particular</t>
  </si>
  <si>
    <t>credit (₹)</t>
  </si>
  <si>
    <t>l.f</t>
  </si>
  <si>
    <t>To cash A/c</t>
  </si>
  <si>
    <t>(being  recharge in cash)</t>
  </si>
  <si>
    <t>Mobile recharge A/c  D.r</t>
  </si>
  <si>
    <t>petrol charge A/c  D.r</t>
  </si>
  <si>
    <t>(being  petrol  in cash)</t>
  </si>
  <si>
    <t>Groceries A/c D.r</t>
  </si>
  <si>
    <t>(being groceries in cash)</t>
  </si>
  <si>
    <t>(being vegetable for cash)</t>
  </si>
  <si>
    <t>( being recharge for cash)</t>
  </si>
  <si>
    <t>fish A/c D.r</t>
  </si>
  <si>
    <t>(being fish for cash)</t>
  </si>
  <si>
    <t>(being petrol for cash</t>
  </si>
  <si>
    <t>In the book of ledger in the year ended 1st july 2026</t>
  </si>
  <si>
    <t>Cash A/c</t>
  </si>
  <si>
    <t>Amount ₹</t>
  </si>
  <si>
    <t>By Grocery Expenses A/c</t>
  </si>
  <si>
    <t>By Food Expenses A/c</t>
  </si>
  <si>
    <t>By Purchases A/c</t>
  </si>
  <si>
    <t>By Transport Expenses A/c</t>
  </si>
  <si>
    <t>By Office Expenses A/c</t>
  </si>
  <si>
    <t>By Supplier A/c</t>
  </si>
  <si>
    <t>By Miscellaneous Expenses A/c</t>
  </si>
  <si>
    <t>By Rent Expenses A/c</t>
  </si>
  <si>
    <t>By Stationery Expenses A/c</t>
  </si>
  <si>
    <t>By Balance c/d</t>
  </si>
  <si>
    <t>Total</t>
  </si>
  <si>
    <t xml:space="preserve"> Bank A/c</t>
  </si>
  <si>
    <t>By Travel Expenses A/c</t>
  </si>
  <si>
    <t>By Mobile Recharge Expenses A/c</t>
  </si>
  <si>
    <t>By Electricity Expenses A/c</t>
  </si>
  <si>
    <t>By Telephone Expenses A/c</t>
  </si>
  <si>
    <t xml:space="preserve"> Salary Income A/c</t>
  </si>
  <si>
    <t>To Balance c/d</t>
  </si>
  <si>
    <t>By Cash A/c</t>
  </si>
  <si>
    <t>Grocery Expenses A/c</t>
  </si>
  <si>
    <t xml:space="preserve"> Travel Expenses A/c</t>
  </si>
  <si>
    <t xml:space="preserve"> Food Expenses A/c</t>
  </si>
  <si>
    <t xml:space="preserve"> Mobile Recharge Expenses A/c</t>
  </si>
  <si>
    <t xml:space="preserve"> Freelance Income A/c</t>
  </si>
  <si>
    <t xml:space="preserve"> Electricity Expenses A/c</t>
  </si>
  <si>
    <t xml:space="preserve"> Purchases A/c</t>
  </si>
  <si>
    <t>Sales A/C</t>
  </si>
  <si>
    <t>Transport Expenses A/c</t>
  </si>
  <si>
    <t xml:space="preserve"> Office Expenses A/c</t>
  </si>
  <si>
    <t xml:space="preserve"> Customer A/c</t>
  </si>
  <si>
    <t xml:space="preserve"> Supplier A/c</t>
  </si>
  <si>
    <t xml:space="preserve"> Miscellaneous Expenses A/c</t>
  </si>
  <si>
    <t>Rent Expenses A/c</t>
  </si>
  <si>
    <t xml:space="preserve"> Stationery Expenses A/c</t>
  </si>
  <si>
    <t xml:space="preserve"> Commission Income A/c</t>
  </si>
  <si>
    <t>Telephone Expenses A/c</t>
  </si>
  <si>
    <t>By petrol chargesA/c</t>
  </si>
  <si>
    <t>By mobile recharge A/c</t>
  </si>
  <si>
    <t>By grocery Expenses A/c</t>
  </si>
  <si>
    <t xml:space="preserve">By vegetable A/c </t>
  </si>
  <si>
    <t>By fish A/c</t>
  </si>
  <si>
    <t>To Cash A/C</t>
  </si>
  <si>
    <t>Petrol expenses a/c</t>
  </si>
  <si>
    <t>To cash a/c</t>
  </si>
  <si>
    <t xml:space="preserve">To cash a/c </t>
  </si>
  <si>
    <t xml:space="preserve">total </t>
  </si>
  <si>
    <t>total</t>
  </si>
  <si>
    <t>By balance c/d</t>
  </si>
  <si>
    <t>vegetable A/c D.r</t>
  </si>
  <si>
    <t>Vegetable account</t>
  </si>
  <si>
    <t>To Cash</t>
  </si>
  <si>
    <t>By balance cld</t>
  </si>
  <si>
    <t>Tota</t>
  </si>
  <si>
    <t>Fish account</t>
  </si>
  <si>
    <t>In the book of trial balance for the month ended july</t>
  </si>
  <si>
    <t>S.No</t>
  </si>
  <si>
    <t>Debit ₹</t>
  </si>
  <si>
    <t>Credit ₹</t>
  </si>
  <si>
    <t>Bank A/C</t>
  </si>
  <si>
    <t>Salary income A/C</t>
  </si>
  <si>
    <t>Groceries A/C</t>
  </si>
  <si>
    <t>Traveling expenses A/C</t>
  </si>
  <si>
    <t>Food expenses A/C</t>
  </si>
  <si>
    <t>Mobile recharge A/C</t>
  </si>
  <si>
    <t>Freelance income A/C</t>
  </si>
  <si>
    <t>Electricity charges A/C</t>
  </si>
  <si>
    <t>Purchase A/C</t>
  </si>
  <si>
    <t>Transport expenses A/C</t>
  </si>
  <si>
    <t>Office expenses A/c</t>
  </si>
  <si>
    <t>Customer A/C</t>
  </si>
  <si>
    <t>Suppliers A/C</t>
  </si>
  <si>
    <t>Miscellious expenses A/c</t>
  </si>
  <si>
    <t>Rent expenses A/C</t>
  </si>
  <si>
    <t>Stationery expenses A/C</t>
  </si>
  <si>
    <t>Commission income A/C</t>
  </si>
  <si>
    <t>Telephone expenses A/C</t>
  </si>
  <si>
    <t>Petrol expense A/C</t>
  </si>
  <si>
    <t>Vegetable expenses A/c</t>
  </si>
  <si>
    <t>Fish A/c</t>
  </si>
  <si>
    <t>In the book of  Income  Expenditure  for the month ended 30th june 2026</t>
  </si>
  <si>
    <t>Liabilities</t>
  </si>
  <si>
    <t>Assets</t>
  </si>
  <si>
    <t>Expenditure</t>
  </si>
  <si>
    <t>Income</t>
  </si>
  <si>
    <t>₹</t>
  </si>
  <si>
    <t>Groceries Expenses</t>
  </si>
  <si>
    <t>Salary Income</t>
  </si>
  <si>
    <t>Travelling Expenses</t>
  </si>
  <si>
    <t>Freelance Income</t>
  </si>
  <si>
    <t>Food Expenses</t>
  </si>
  <si>
    <t>Sales Income</t>
  </si>
  <si>
    <t>Mobile Recharge</t>
  </si>
  <si>
    <t>Commission Income</t>
  </si>
  <si>
    <t>Electricity Charges</t>
  </si>
  <si>
    <t>Purchase</t>
  </si>
  <si>
    <t>Transport Expenses</t>
  </si>
  <si>
    <t>Office Expenses</t>
  </si>
  <si>
    <t>Miscellaneous Expenses</t>
  </si>
  <si>
    <t>Rent Expenses</t>
  </si>
  <si>
    <t>Stationery Expenses</t>
  </si>
  <si>
    <t>Telephone Expenses</t>
  </si>
  <si>
    <t>Petrol Expenses</t>
  </si>
  <si>
    <t>Vegetable Expenses</t>
  </si>
  <si>
    <t>Fish Expenses</t>
  </si>
  <si>
    <t>To Surplus</t>
  </si>
  <si>
    <t>Supplier A/c</t>
  </si>
  <si>
    <t>Capital / Opening Balance</t>
  </si>
  <si>
    <t>Bank A/c</t>
  </si>
  <si>
    <t>Customer A/c</t>
  </si>
  <si>
    <t>Less: Surplus transferred to Capital</t>
  </si>
  <si>
    <t>In the book of balance sheet for the month ended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</si>
</sst>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D0D0D"/>
      <name val="Segoe UI"/>
      <family val="2"/>
    </font>
    <font>
      <sz val="11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15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FE0A-2AF1-471E-813D-B281699FBE10}">
  <dimension ref="A1:C41"/>
  <sheetViews>
    <sheetView workbookViewId="0">
      <selection activeCell="C2" sqref="C2"/>
    </sheetView>
  </sheetViews>
  <sheetFormatPr defaultRowHeight="14.4" x14ac:dyDescent="0.3"/>
  <cols>
    <col min="1" max="1" width="21.6640625" customWidth="1"/>
    <col min="2" max="2" width="31.21875" customWidth="1"/>
    <col min="3" max="3" width="19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46204</v>
      </c>
      <c r="B2" s="3" t="s">
        <v>3</v>
      </c>
      <c r="C2" s="4">
        <v>40000</v>
      </c>
    </row>
    <row r="3" spans="1:3" x14ac:dyDescent="0.3">
      <c r="A3" s="2">
        <v>46205</v>
      </c>
      <c r="B3" s="3" t="s">
        <v>4</v>
      </c>
      <c r="C3" s="3">
        <v>850</v>
      </c>
    </row>
    <row r="4" spans="1:3" x14ac:dyDescent="0.3">
      <c r="A4" s="2">
        <v>46206</v>
      </c>
      <c r="B4" s="3" t="s">
        <v>5</v>
      </c>
      <c r="C4" s="3">
        <v>200</v>
      </c>
    </row>
    <row r="5" spans="1:3" x14ac:dyDescent="0.3">
      <c r="A5" s="2">
        <v>46207</v>
      </c>
      <c r="B5" s="3" t="s">
        <v>6</v>
      </c>
      <c r="C5" s="3">
        <v>300</v>
      </c>
    </row>
    <row r="6" spans="1:3" x14ac:dyDescent="0.3">
      <c r="A6" s="2">
        <v>46208</v>
      </c>
      <c r="B6" s="3" t="s">
        <v>7</v>
      </c>
      <c r="C6" s="3">
        <v>250</v>
      </c>
    </row>
    <row r="7" spans="1:3" x14ac:dyDescent="0.3">
      <c r="A7" s="2">
        <v>46209</v>
      </c>
      <c r="B7" s="3" t="s">
        <v>8</v>
      </c>
      <c r="C7" s="4">
        <v>1500</v>
      </c>
    </row>
    <row r="8" spans="1:3" x14ac:dyDescent="0.3">
      <c r="A8" s="2">
        <v>46210</v>
      </c>
      <c r="B8" s="3" t="s">
        <v>9</v>
      </c>
      <c r="C8" s="3">
        <v>600</v>
      </c>
    </row>
    <row r="9" spans="1:3" x14ac:dyDescent="0.3">
      <c r="B9" s="5" t="s">
        <v>10</v>
      </c>
    </row>
    <row r="10" spans="1:3" x14ac:dyDescent="0.3">
      <c r="A10" s="6" t="s">
        <v>0</v>
      </c>
      <c r="B10" s="6" t="s">
        <v>1</v>
      </c>
      <c r="C10" s="7" t="s">
        <v>2</v>
      </c>
    </row>
    <row r="11" spans="1:3" x14ac:dyDescent="0.3">
      <c r="A11" s="8">
        <v>46211</v>
      </c>
      <c r="B11" s="9" t="s">
        <v>11</v>
      </c>
      <c r="C11" s="10">
        <v>1200</v>
      </c>
    </row>
    <row r="12" spans="1:3" x14ac:dyDescent="0.3">
      <c r="A12" s="8">
        <v>46212</v>
      </c>
      <c r="B12" s="9" t="s">
        <v>12</v>
      </c>
      <c r="C12" s="10">
        <v>2500</v>
      </c>
    </row>
    <row r="13" spans="1:3" x14ac:dyDescent="0.3">
      <c r="A13" s="8">
        <v>46213</v>
      </c>
      <c r="B13" s="9" t="s">
        <v>13</v>
      </c>
      <c r="C13" s="11">
        <v>400</v>
      </c>
    </row>
    <row r="14" spans="1:3" x14ac:dyDescent="0.3">
      <c r="A14" s="8">
        <v>46214</v>
      </c>
      <c r="B14" s="9" t="s">
        <v>14</v>
      </c>
      <c r="C14" s="11">
        <v>650</v>
      </c>
    </row>
    <row r="15" spans="1:3" x14ac:dyDescent="0.3">
      <c r="A15" s="8">
        <v>46215</v>
      </c>
      <c r="B15" s="9" t="s">
        <v>15</v>
      </c>
      <c r="C15" s="10">
        <v>3000</v>
      </c>
    </row>
    <row r="16" spans="1:3" x14ac:dyDescent="0.3">
      <c r="A16" s="8">
        <v>46216</v>
      </c>
      <c r="B16" s="9" t="s">
        <v>16</v>
      </c>
      <c r="C16" s="10">
        <v>1500</v>
      </c>
    </row>
    <row r="17" spans="1:3" x14ac:dyDescent="0.3">
      <c r="A17" s="8">
        <v>46217</v>
      </c>
      <c r="B17" s="9" t="s">
        <v>17</v>
      </c>
      <c r="C17" s="11">
        <v>250</v>
      </c>
    </row>
    <row r="20" spans="1:3" x14ac:dyDescent="0.3">
      <c r="B20" s="12" t="s">
        <v>18</v>
      </c>
    </row>
    <row r="21" spans="1:3" x14ac:dyDescent="0.3">
      <c r="A21" s="1" t="s">
        <v>0</v>
      </c>
      <c r="B21" s="1" t="s">
        <v>1</v>
      </c>
      <c r="C21" s="1" t="s">
        <v>2</v>
      </c>
    </row>
    <row r="22" spans="1:3" x14ac:dyDescent="0.3">
      <c r="A22" s="2">
        <v>46218</v>
      </c>
      <c r="B22" s="3" t="s">
        <v>19</v>
      </c>
      <c r="C22" s="4">
        <v>1000</v>
      </c>
    </row>
    <row r="23" spans="1:3" x14ac:dyDescent="0.3">
      <c r="A23" s="2">
        <v>46219</v>
      </c>
      <c r="B23" s="3" t="s">
        <v>20</v>
      </c>
      <c r="C23" s="3">
        <v>350</v>
      </c>
    </row>
    <row r="24" spans="1:3" x14ac:dyDescent="0.3">
      <c r="A24" s="2">
        <v>46220</v>
      </c>
      <c r="B24" s="3" t="s">
        <v>21</v>
      </c>
      <c r="C24" s="4">
        <v>2000</v>
      </c>
    </row>
    <row r="25" spans="1:3" x14ac:dyDescent="0.3">
      <c r="A25" s="2">
        <v>46221</v>
      </c>
      <c r="B25" s="3" t="s">
        <v>22</v>
      </c>
      <c r="C25" s="3">
        <v>550</v>
      </c>
    </row>
    <row r="26" spans="1:3" x14ac:dyDescent="0.3">
      <c r="A26" s="2">
        <v>46222</v>
      </c>
      <c r="B26" s="3" t="s">
        <v>11</v>
      </c>
      <c r="C26" s="4">
        <v>1500</v>
      </c>
    </row>
    <row r="27" spans="1:3" x14ac:dyDescent="0.3">
      <c r="A27" s="2">
        <v>46223</v>
      </c>
      <c r="B27" s="3" t="s">
        <v>12</v>
      </c>
      <c r="C27" s="4">
        <v>2500</v>
      </c>
    </row>
    <row r="28" spans="1:3" x14ac:dyDescent="0.3">
      <c r="A28" s="2">
        <v>46224</v>
      </c>
      <c r="B28" s="3" t="s">
        <v>23</v>
      </c>
      <c r="C28" s="3">
        <v>300</v>
      </c>
    </row>
    <row r="31" spans="1:3" x14ac:dyDescent="0.3">
      <c r="B31" s="14" t="s">
        <v>24</v>
      </c>
    </row>
    <row r="33" spans="1:3" x14ac:dyDescent="0.3">
      <c r="A33" s="1" t="s">
        <v>0</v>
      </c>
      <c r="B33" s="1" t="s">
        <v>1</v>
      </c>
      <c r="C33" s="1" t="s">
        <v>2</v>
      </c>
    </row>
    <row r="34" spans="1:3" x14ac:dyDescent="0.3">
      <c r="A34" s="13">
        <v>46225</v>
      </c>
      <c r="B34" s="3" t="s">
        <v>25</v>
      </c>
      <c r="C34" s="3">
        <v>350</v>
      </c>
    </row>
    <row r="35" spans="1:3" x14ac:dyDescent="0.3">
      <c r="A35" s="13">
        <v>46226</v>
      </c>
      <c r="B35" s="3" t="s">
        <v>26</v>
      </c>
      <c r="C35" s="3">
        <v>200</v>
      </c>
    </row>
    <row r="36" spans="1:3" x14ac:dyDescent="0.3">
      <c r="A36" s="13">
        <v>46227</v>
      </c>
      <c r="B36" s="3" t="s">
        <v>28</v>
      </c>
      <c r="C36" s="3">
        <v>500</v>
      </c>
    </row>
    <row r="37" spans="1:3" x14ac:dyDescent="0.3">
      <c r="A37" s="13">
        <v>46228</v>
      </c>
      <c r="B37" s="3" t="s">
        <v>27</v>
      </c>
      <c r="C37" s="3">
        <v>400</v>
      </c>
    </row>
    <row r="38" spans="1:3" x14ac:dyDescent="0.3">
      <c r="A38" s="13">
        <v>46230</v>
      </c>
      <c r="B38" s="3" t="s">
        <v>25</v>
      </c>
      <c r="C38" s="3">
        <v>350</v>
      </c>
    </row>
    <row r="39" spans="1:3" x14ac:dyDescent="0.3">
      <c r="A39" s="13">
        <v>46231</v>
      </c>
      <c r="B39" s="3" t="s">
        <v>29</v>
      </c>
      <c r="C39" s="3">
        <v>300</v>
      </c>
    </row>
    <row r="40" spans="1:3" x14ac:dyDescent="0.3">
      <c r="A40" s="13">
        <v>46233</v>
      </c>
      <c r="B40" s="3" t="s">
        <v>26</v>
      </c>
      <c r="C40" s="3">
        <v>100</v>
      </c>
    </row>
    <row r="41" spans="1:3" x14ac:dyDescent="0.3">
      <c r="A41" s="3"/>
      <c r="B41" s="3"/>
      <c r="C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83AB-8E36-4146-B2FD-992545AE8CB2}">
  <dimension ref="A1:E79"/>
  <sheetViews>
    <sheetView workbookViewId="0">
      <selection activeCell="E8" sqref="E8"/>
    </sheetView>
  </sheetViews>
  <sheetFormatPr defaultRowHeight="14.4" x14ac:dyDescent="0.3"/>
  <cols>
    <col min="1" max="1" width="21.21875" customWidth="1"/>
    <col min="2" max="2" width="28.77734375" customWidth="1"/>
    <col min="3" max="3" width="9" customWidth="1"/>
    <col min="4" max="4" width="12" customWidth="1"/>
    <col min="5" max="5" width="14" customWidth="1"/>
  </cols>
  <sheetData>
    <row r="1" spans="1:5" x14ac:dyDescent="0.3">
      <c r="B1" t="s">
        <v>30</v>
      </c>
    </row>
    <row r="6" spans="1:5" x14ac:dyDescent="0.3">
      <c r="A6" s="1" t="s">
        <v>0</v>
      </c>
      <c r="B6" s="1" t="s">
        <v>31</v>
      </c>
      <c r="C6" t="s">
        <v>57</v>
      </c>
      <c r="D6" s="1" t="s">
        <v>32</v>
      </c>
      <c r="E6" s="1" t="s">
        <v>33</v>
      </c>
    </row>
    <row r="7" spans="1:5" x14ac:dyDescent="0.3">
      <c r="A7" s="2">
        <v>46204</v>
      </c>
      <c r="B7" s="3" t="s">
        <v>34</v>
      </c>
      <c r="C7" s="3"/>
      <c r="D7" s="4">
        <v>40000</v>
      </c>
      <c r="E7" s="3"/>
    </row>
    <row r="8" spans="1:5" x14ac:dyDescent="0.3">
      <c r="A8" s="3"/>
      <c r="B8" s="3" t="s">
        <v>35</v>
      </c>
      <c r="C8" s="3"/>
      <c r="D8" s="3"/>
      <c r="E8" s="4">
        <v>40000</v>
      </c>
    </row>
    <row r="9" spans="1:5" x14ac:dyDescent="0.3">
      <c r="A9" s="2">
        <v>46205</v>
      </c>
      <c r="B9" s="3" t="s">
        <v>36</v>
      </c>
      <c r="C9" s="3"/>
      <c r="D9" s="3">
        <v>850</v>
      </c>
      <c r="E9" s="3"/>
    </row>
    <row r="10" spans="1:5" x14ac:dyDescent="0.3">
      <c r="A10" s="3"/>
      <c r="B10" s="3" t="s">
        <v>37</v>
      </c>
      <c r="C10" s="3"/>
      <c r="D10" s="3"/>
      <c r="E10" s="3">
        <v>850</v>
      </c>
    </row>
    <row r="11" spans="1:5" x14ac:dyDescent="0.3">
      <c r="A11" s="2">
        <v>46206</v>
      </c>
      <c r="B11" s="3" t="s">
        <v>38</v>
      </c>
      <c r="C11" s="3"/>
      <c r="D11" s="3">
        <v>200</v>
      </c>
      <c r="E11" s="3"/>
    </row>
    <row r="12" spans="1:5" x14ac:dyDescent="0.3">
      <c r="A12" s="3"/>
      <c r="B12" s="3" t="s">
        <v>39</v>
      </c>
      <c r="C12" s="3"/>
      <c r="D12" s="3"/>
      <c r="E12" s="3">
        <v>200</v>
      </c>
    </row>
    <row r="13" spans="1:5" x14ac:dyDescent="0.3">
      <c r="A13" s="2">
        <v>46207</v>
      </c>
      <c r="B13" s="3" t="s">
        <v>40</v>
      </c>
      <c r="C13" s="3"/>
      <c r="D13" s="3">
        <v>300</v>
      </c>
      <c r="E13" s="3"/>
    </row>
    <row r="14" spans="1:5" x14ac:dyDescent="0.3">
      <c r="A14" s="3"/>
      <c r="B14" s="3" t="s">
        <v>37</v>
      </c>
      <c r="C14" s="3"/>
      <c r="D14" s="3"/>
      <c r="E14" s="3">
        <v>300</v>
      </c>
    </row>
    <row r="15" spans="1:5" x14ac:dyDescent="0.3">
      <c r="A15" s="2">
        <v>46208</v>
      </c>
      <c r="B15" s="3" t="s">
        <v>41</v>
      </c>
      <c r="C15" s="3"/>
      <c r="D15" s="3">
        <v>250</v>
      </c>
      <c r="E15" s="3"/>
    </row>
    <row r="16" spans="1:5" x14ac:dyDescent="0.3">
      <c r="A16" s="3"/>
      <c r="B16" s="3" t="s">
        <v>39</v>
      </c>
      <c r="C16" s="3"/>
      <c r="D16" s="3"/>
      <c r="E16" s="3">
        <v>250</v>
      </c>
    </row>
    <row r="17" spans="1:5" x14ac:dyDescent="0.3">
      <c r="A17" s="2">
        <v>46209</v>
      </c>
      <c r="B17" s="3" t="s">
        <v>34</v>
      </c>
      <c r="C17" s="3"/>
      <c r="D17" s="4">
        <v>1500</v>
      </c>
      <c r="E17" s="3"/>
    </row>
    <row r="18" spans="1:5" x14ac:dyDescent="0.3">
      <c r="A18" s="3"/>
      <c r="B18" s="3" t="s">
        <v>42</v>
      </c>
      <c r="C18" s="3"/>
      <c r="D18" s="3"/>
      <c r="E18" s="4">
        <v>1500</v>
      </c>
    </row>
    <row r="19" spans="1:5" x14ac:dyDescent="0.3">
      <c r="A19" s="2">
        <v>46210</v>
      </c>
      <c r="B19" s="3" t="s">
        <v>43</v>
      </c>
      <c r="C19" s="3"/>
      <c r="D19" s="3">
        <v>600</v>
      </c>
      <c r="E19" s="3"/>
    </row>
    <row r="20" spans="1:5" x14ac:dyDescent="0.3">
      <c r="A20" s="3"/>
      <c r="B20" s="3" t="s">
        <v>39</v>
      </c>
      <c r="C20" s="3"/>
      <c r="D20" s="3"/>
      <c r="E20" s="3">
        <v>600</v>
      </c>
    </row>
    <row r="23" spans="1:5" x14ac:dyDescent="0.3">
      <c r="A23" s="1" t="s">
        <v>0</v>
      </c>
      <c r="B23" s="1" t="s">
        <v>31</v>
      </c>
      <c r="C23" s="1" t="s">
        <v>57</v>
      </c>
      <c r="D23" s="1" t="s">
        <v>32</v>
      </c>
      <c r="E23" s="1" t="s">
        <v>33</v>
      </c>
    </row>
    <row r="24" spans="1:5" x14ac:dyDescent="0.3">
      <c r="A24" s="2">
        <v>46211</v>
      </c>
      <c r="B24" s="3" t="s">
        <v>44</v>
      </c>
      <c r="C24" s="3"/>
      <c r="D24" s="4">
        <v>1200</v>
      </c>
      <c r="E24" s="3"/>
    </row>
    <row r="25" spans="1:5" x14ac:dyDescent="0.3">
      <c r="A25" s="3"/>
      <c r="B25" s="3" t="s">
        <v>37</v>
      </c>
      <c r="C25" s="3"/>
      <c r="D25" s="3"/>
      <c r="E25" s="4">
        <v>1200</v>
      </c>
    </row>
    <row r="26" spans="1:5" x14ac:dyDescent="0.3">
      <c r="A26" s="2">
        <v>46212</v>
      </c>
      <c r="B26" s="3" t="s">
        <v>34</v>
      </c>
      <c r="C26" s="3"/>
      <c r="D26" s="4">
        <v>2500</v>
      </c>
      <c r="E26" s="3"/>
    </row>
    <row r="27" spans="1:5" x14ac:dyDescent="0.3">
      <c r="A27" s="3"/>
      <c r="B27" s="3" t="s">
        <v>45</v>
      </c>
      <c r="C27" s="3"/>
      <c r="D27" s="3"/>
      <c r="E27" s="4">
        <v>2500</v>
      </c>
    </row>
    <row r="28" spans="1:5" x14ac:dyDescent="0.3">
      <c r="A28" s="2">
        <v>46213</v>
      </c>
      <c r="B28" s="3" t="s">
        <v>46</v>
      </c>
      <c r="C28" s="3"/>
      <c r="D28" s="3">
        <v>400</v>
      </c>
      <c r="E28" s="3"/>
    </row>
    <row r="29" spans="1:5" x14ac:dyDescent="0.3">
      <c r="A29" s="3"/>
      <c r="B29" s="3" t="s">
        <v>37</v>
      </c>
      <c r="C29" s="3"/>
      <c r="D29" s="3"/>
      <c r="E29" s="3">
        <v>400</v>
      </c>
    </row>
    <row r="30" spans="1:5" x14ac:dyDescent="0.3">
      <c r="A30" s="2">
        <v>46214</v>
      </c>
      <c r="B30" s="3" t="s">
        <v>47</v>
      </c>
      <c r="C30" s="3"/>
      <c r="D30" s="3">
        <v>650</v>
      </c>
      <c r="E30" s="3"/>
    </row>
    <row r="31" spans="1:5" x14ac:dyDescent="0.3">
      <c r="A31" s="3"/>
      <c r="B31" s="3" t="s">
        <v>37</v>
      </c>
      <c r="C31" s="3"/>
      <c r="D31" s="3"/>
      <c r="E31" s="3">
        <v>650</v>
      </c>
    </row>
    <row r="32" spans="1:5" x14ac:dyDescent="0.3">
      <c r="A32" s="2">
        <v>46215</v>
      </c>
      <c r="B32" s="3" t="s">
        <v>34</v>
      </c>
      <c r="C32" s="3"/>
      <c r="D32" s="4">
        <v>3000</v>
      </c>
      <c r="E32" s="3"/>
    </row>
    <row r="33" spans="1:5" x14ac:dyDescent="0.3">
      <c r="A33" s="3"/>
      <c r="B33" s="3" t="s">
        <v>48</v>
      </c>
      <c r="C33" s="3"/>
      <c r="D33" s="3"/>
      <c r="E33" s="4">
        <v>3000</v>
      </c>
    </row>
    <row r="34" spans="1:5" x14ac:dyDescent="0.3">
      <c r="A34" s="2">
        <v>46216</v>
      </c>
      <c r="B34" s="3" t="s">
        <v>49</v>
      </c>
      <c r="C34" s="3"/>
      <c r="D34" s="4">
        <v>1500</v>
      </c>
      <c r="E34" s="3"/>
    </row>
    <row r="35" spans="1:5" x14ac:dyDescent="0.3">
      <c r="A35" s="3"/>
      <c r="B35" s="3" t="s">
        <v>37</v>
      </c>
      <c r="C35" s="3"/>
      <c r="D35" s="3"/>
      <c r="E35" s="4">
        <v>1500</v>
      </c>
    </row>
    <row r="36" spans="1:5" x14ac:dyDescent="0.3">
      <c r="A36" s="2">
        <v>46217</v>
      </c>
      <c r="B36" s="3" t="s">
        <v>50</v>
      </c>
      <c r="C36" s="3"/>
      <c r="D36" s="3">
        <v>250</v>
      </c>
      <c r="E36" s="3"/>
    </row>
    <row r="37" spans="1:5" x14ac:dyDescent="0.3">
      <c r="A37" s="3"/>
      <c r="B37" s="3" t="s">
        <v>37</v>
      </c>
      <c r="C37" s="3"/>
      <c r="D37" s="3"/>
      <c r="E37" s="3">
        <v>250</v>
      </c>
    </row>
    <row r="40" spans="1:5" x14ac:dyDescent="0.3">
      <c r="A40" s="1" t="s">
        <v>0</v>
      </c>
      <c r="B40" s="1" t="s">
        <v>31</v>
      </c>
      <c r="C40" s="1" t="s">
        <v>57</v>
      </c>
      <c r="D40" s="1" t="s">
        <v>32</v>
      </c>
      <c r="E40" s="1" t="s">
        <v>33</v>
      </c>
    </row>
    <row r="41" spans="1:5" x14ac:dyDescent="0.3">
      <c r="A41" s="2">
        <v>46218</v>
      </c>
      <c r="B41" s="3" t="s">
        <v>51</v>
      </c>
      <c r="C41" s="3"/>
      <c r="D41" s="4">
        <v>1000</v>
      </c>
      <c r="E41" s="3"/>
    </row>
    <row r="42" spans="1:5" x14ac:dyDescent="0.3">
      <c r="A42" s="3"/>
      <c r="B42" s="3" t="s">
        <v>37</v>
      </c>
      <c r="C42" s="3"/>
      <c r="D42" s="3"/>
      <c r="E42" s="4">
        <v>1000</v>
      </c>
    </row>
    <row r="43" spans="1:5" x14ac:dyDescent="0.3">
      <c r="A43" s="2">
        <v>46219</v>
      </c>
      <c r="B43" s="3" t="s">
        <v>52</v>
      </c>
      <c r="C43" s="3"/>
      <c r="D43" s="3">
        <v>350</v>
      </c>
      <c r="E43" s="3"/>
    </row>
    <row r="44" spans="1:5" x14ac:dyDescent="0.3">
      <c r="A44" s="3"/>
      <c r="B44" s="3" t="s">
        <v>37</v>
      </c>
      <c r="C44" s="3"/>
      <c r="D44" s="3"/>
      <c r="E44" s="3">
        <v>350</v>
      </c>
    </row>
    <row r="45" spans="1:5" x14ac:dyDescent="0.3">
      <c r="A45" s="2">
        <v>46220</v>
      </c>
      <c r="B45" s="3" t="s">
        <v>34</v>
      </c>
      <c r="C45" s="3"/>
      <c r="D45" s="4">
        <v>2000</v>
      </c>
      <c r="E45" s="3"/>
    </row>
    <row r="46" spans="1:5" x14ac:dyDescent="0.3">
      <c r="A46" s="3"/>
      <c r="B46" s="3" t="s">
        <v>53</v>
      </c>
      <c r="C46" s="3"/>
      <c r="D46" s="3"/>
      <c r="E46" s="4">
        <v>2000</v>
      </c>
    </row>
    <row r="47" spans="1:5" x14ac:dyDescent="0.3">
      <c r="A47" s="2">
        <v>46221</v>
      </c>
      <c r="B47" s="3" t="s">
        <v>43</v>
      </c>
      <c r="C47" s="3"/>
      <c r="D47" s="3">
        <v>550</v>
      </c>
      <c r="E47" s="3"/>
    </row>
    <row r="48" spans="1:5" x14ac:dyDescent="0.3">
      <c r="A48" s="3"/>
      <c r="B48" s="3" t="s">
        <v>39</v>
      </c>
      <c r="C48" s="3"/>
      <c r="D48" s="3"/>
      <c r="E48" s="3">
        <v>550</v>
      </c>
    </row>
    <row r="49" spans="1:5" x14ac:dyDescent="0.3">
      <c r="A49" s="2">
        <v>46222</v>
      </c>
      <c r="B49" s="3" t="s">
        <v>44</v>
      </c>
      <c r="C49" s="3"/>
      <c r="D49" s="4">
        <v>1500</v>
      </c>
      <c r="E49" s="3"/>
    </row>
    <row r="50" spans="1:5" x14ac:dyDescent="0.3">
      <c r="A50" s="3"/>
      <c r="B50" s="3" t="s">
        <v>37</v>
      </c>
      <c r="C50" s="3"/>
      <c r="D50" s="3"/>
      <c r="E50" s="4">
        <v>1500</v>
      </c>
    </row>
    <row r="51" spans="1:5" x14ac:dyDescent="0.3">
      <c r="A51" s="2">
        <v>46223</v>
      </c>
      <c r="B51" s="3" t="s">
        <v>34</v>
      </c>
      <c r="C51" s="3"/>
      <c r="D51" s="4">
        <v>2500</v>
      </c>
      <c r="E51" s="3"/>
    </row>
    <row r="52" spans="1:5" x14ac:dyDescent="0.3">
      <c r="A52" s="3"/>
      <c r="B52" s="3" t="s">
        <v>45</v>
      </c>
      <c r="C52" s="3"/>
      <c r="D52" s="3"/>
      <c r="E52" s="4">
        <v>2500</v>
      </c>
    </row>
    <row r="53" spans="1:5" x14ac:dyDescent="0.3">
      <c r="A53" s="2">
        <v>46224</v>
      </c>
      <c r="B53" s="3" t="s">
        <v>54</v>
      </c>
      <c r="C53" s="3"/>
      <c r="D53" s="3">
        <v>300</v>
      </c>
      <c r="E53" s="3"/>
    </row>
    <row r="54" spans="1:5" x14ac:dyDescent="0.3">
      <c r="A54" s="3"/>
      <c r="B54" s="3" t="s">
        <v>39</v>
      </c>
      <c r="C54" s="3"/>
      <c r="D54" s="3"/>
      <c r="E54" s="3">
        <v>300</v>
      </c>
    </row>
    <row r="58" spans="1:5" x14ac:dyDescent="0.3">
      <c r="A58" s="15" t="s">
        <v>0</v>
      </c>
      <c r="B58" s="15" t="s">
        <v>55</v>
      </c>
      <c r="C58" s="15" t="s">
        <v>57</v>
      </c>
      <c r="D58" s="15" t="s">
        <v>32</v>
      </c>
      <c r="E58" s="15" t="s">
        <v>56</v>
      </c>
    </row>
    <row r="59" spans="1:5" x14ac:dyDescent="0.3">
      <c r="A59" s="13">
        <v>46225</v>
      </c>
      <c r="B59" s="3" t="s">
        <v>60</v>
      </c>
      <c r="C59" s="3"/>
      <c r="D59" s="3">
        <v>350</v>
      </c>
      <c r="E59" s="3"/>
    </row>
    <row r="60" spans="1:5" x14ac:dyDescent="0.3">
      <c r="A60" s="3"/>
      <c r="B60" s="3" t="s">
        <v>58</v>
      </c>
      <c r="C60" s="3"/>
      <c r="D60" s="3"/>
      <c r="E60" s="3">
        <v>350</v>
      </c>
    </row>
    <row r="61" spans="1:5" x14ac:dyDescent="0.3">
      <c r="A61" s="3"/>
      <c r="B61" s="3" t="s">
        <v>59</v>
      </c>
      <c r="C61" s="3"/>
      <c r="D61" s="3"/>
      <c r="E61" s="3"/>
    </row>
    <row r="62" spans="1:5" x14ac:dyDescent="0.3">
      <c r="A62" s="13">
        <v>46226</v>
      </c>
      <c r="B62" s="3" t="s">
        <v>61</v>
      </c>
      <c r="C62" s="3"/>
      <c r="D62" s="3">
        <v>200</v>
      </c>
      <c r="E62" s="3"/>
    </row>
    <row r="63" spans="1:5" x14ac:dyDescent="0.3">
      <c r="A63" s="3"/>
      <c r="B63" s="3" t="s">
        <v>58</v>
      </c>
      <c r="C63" s="3"/>
      <c r="D63" s="3"/>
      <c r="E63" s="3">
        <v>200</v>
      </c>
    </row>
    <row r="64" spans="1:5" x14ac:dyDescent="0.3">
      <c r="A64" s="3"/>
      <c r="B64" s="3" t="s">
        <v>62</v>
      </c>
      <c r="C64" s="3"/>
      <c r="D64" s="3"/>
      <c r="E64" s="3"/>
    </row>
    <row r="65" spans="1:5" x14ac:dyDescent="0.3">
      <c r="A65" s="13">
        <v>46227</v>
      </c>
      <c r="B65" s="3" t="s">
        <v>63</v>
      </c>
      <c r="C65" s="3"/>
      <c r="D65" s="3">
        <v>500</v>
      </c>
      <c r="E65" s="3"/>
    </row>
    <row r="66" spans="1:5" x14ac:dyDescent="0.3">
      <c r="A66" s="3"/>
      <c r="B66" s="3" t="s">
        <v>58</v>
      </c>
      <c r="C66" s="3"/>
      <c r="D66" s="3"/>
      <c r="E66" s="3">
        <v>500</v>
      </c>
    </row>
    <row r="67" spans="1:5" x14ac:dyDescent="0.3">
      <c r="A67" s="3"/>
      <c r="B67" s="3" t="s">
        <v>64</v>
      </c>
      <c r="C67" s="3"/>
      <c r="D67" s="3"/>
      <c r="E67" s="3"/>
    </row>
    <row r="68" spans="1:5" x14ac:dyDescent="0.3">
      <c r="A68" s="13">
        <v>46228</v>
      </c>
      <c r="B68" s="3" t="s">
        <v>121</v>
      </c>
      <c r="C68" s="3"/>
      <c r="D68" s="3">
        <v>400</v>
      </c>
      <c r="E68" s="3"/>
    </row>
    <row r="69" spans="1:5" x14ac:dyDescent="0.3">
      <c r="A69" s="3"/>
      <c r="B69" s="3" t="s">
        <v>58</v>
      </c>
      <c r="C69" s="3"/>
      <c r="D69" s="3"/>
      <c r="E69" s="3">
        <v>400</v>
      </c>
    </row>
    <row r="70" spans="1:5" x14ac:dyDescent="0.3">
      <c r="A70" s="3"/>
      <c r="B70" s="3" t="s">
        <v>65</v>
      </c>
      <c r="C70" s="3"/>
      <c r="D70" s="3"/>
      <c r="E70" s="3"/>
    </row>
    <row r="71" spans="1:5" x14ac:dyDescent="0.3">
      <c r="A71" s="13">
        <v>46230</v>
      </c>
      <c r="B71" s="3" t="s">
        <v>60</v>
      </c>
      <c r="C71" s="3"/>
      <c r="D71" s="3">
        <v>350</v>
      </c>
      <c r="E71" s="3"/>
    </row>
    <row r="72" spans="1:5" x14ac:dyDescent="0.3">
      <c r="A72" s="3"/>
      <c r="B72" s="3" t="s">
        <v>58</v>
      </c>
      <c r="C72" s="3"/>
      <c r="D72" s="3"/>
      <c r="E72" s="3">
        <v>350</v>
      </c>
    </row>
    <row r="73" spans="1:5" x14ac:dyDescent="0.3">
      <c r="A73" s="3"/>
      <c r="B73" s="3" t="s">
        <v>66</v>
      </c>
      <c r="C73" s="3"/>
      <c r="D73" s="3"/>
      <c r="E73" s="3"/>
    </row>
    <row r="74" spans="1:5" x14ac:dyDescent="0.3">
      <c r="A74" s="13">
        <v>46231</v>
      </c>
      <c r="B74" s="3" t="s">
        <v>67</v>
      </c>
      <c r="C74" s="3"/>
      <c r="D74" s="3">
        <v>300</v>
      </c>
      <c r="E74" s="3"/>
    </row>
    <row r="75" spans="1:5" x14ac:dyDescent="0.3">
      <c r="A75" s="3"/>
      <c r="B75" s="3" t="s">
        <v>58</v>
      </c>
      <c r="C75" s="3"/>
      <c r="D75" s="3"/>
      <c r="E75" s="3">
        <v>300</v>
      </c>
    </row>
    <row r="76" spans="1:5" x14ac:dyDescent="0.3">
      <c r="A76" s="3"/>
      <c r="B76" s="3" t="s">
        <v>68</v>
      </c>
      <c r="C76" s="3"/>
      <c r="D76" s="3"/>
      <c r="E76" s="3"/>
    </row>
    <row r="77" spans="1:5" x14ac:dyDescent="0.3">
      <c r="A77" s="13">
        <v>46233</v>
      </c>
      <c r="B77" s="3" t="s">
        <v>61</v>
      </c>
      <c r="C77" s="3"/>
      <c r="D77" s="3">
        <v>100</v>
      </c>
      <c r="E77" s="3"/>
    </row>
    <row r="78" spans="1:5" x14ac:dyDescent="0.3">
      <c r="A78" s="3"/>
      <c r="B78" s="3" t="s">
        <v>58</v>
      </c>
      <c r="C78" s="3"/>
      <c r="D78" s="3"/>
      <c r="E78" s="3">
        <v>100</v>
      </c>
    </row>
    <row r="79" spans="1:5" x14ac:dyDescent="0.3">
      <c r="A79" s="3"/>
      <c r="B79" s="3" t="s">
        <v>69</v>
      </c>
      <c r="C79" s="3"/>
      <c r="D79" s="3"/>
      <c r="E7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E0BE-B96F-4054-8F03-EC6B71E6B427}">
  <dimension ref="A1:J182"/>
  <sheetViews>
    <sheetView workbookViewId="0">
      <selection activeCell="I55" sqref="I55"/>
    </sheetView>
  </sheetViews>
  <sheetFormatPr defaultRowHeight="14.4" x14ac:dyDescent="0.3"/>
  <cols>
    <col min="1" max="1" width="13.77734375" customWidth="1"/>
    <col min="2" max="2" width="25.21875" customWidth="1"/>
    <col min="3" max="3" width="12" customWidth="1"/>
    <col min="4" max="4" width="13.5546875" customWidth="1"/>
    <col min="5" max="5" width="27.88671875" customWidth="1"/>
    <col min="6" max="6" width="12.33203125" customWidth="1"/>
  </cols>
  <sheetData>
    <row r="1" spans="1:6" x14ac:dyDescent="0.3">
      <c r="A1" s="16" t="s">
        <v>70</v>
      </c>
      <c r="B1" s="16"/>
      <c r="C1" s="16"/>
      <c r="D1" s="16"/>
      <c r="E1" s="16"/>
      <c r="F1" s="16"/>
    </row>
    <row r="3" spans="1:6" x14ac:dyDescent="0.3">
      <c r="A3" s="16" t="s">
        <v>71</v>
      </c>
      <c r="B3" s="16"/>
      <c r="C3" s="16"/>
      <c r="D3" s="16"/>
      <c r="E3" s="16"/>
      <c r="F3" s="16"/>
    </row>
    <row r="6" spans="1:6" x14ac:dyDescent="0.3">
      <c r="A6" s="1" t="s">
        <v>0</v>
      </c>
      <c r="B6" s="1" t="s">
        <v>31</v>
      </c>
      <c r="C6" s="1" t="s">
        <v>72</v>
      </c>
      <c r="D6" s="1" t="s">
        <v>0</v>
      </c>
      <c r="E6" s="1" t="s">
        <v>31</v>
      </c>
      <c r="F6" s="1" t="s">
        <v>72</v>
      </c>
    </row>
    <row r="7" spans="1:6" x14ac:dyDescent="0.3">
      <c r="A7" s="2">
        <v>46204</v>
      </c>
      <c r="B7" s="3" t="s">
        <v>35</v>
      </c>
      <c r="C7" s="4">
        <v>40000</v>
      </c>
      <c r="D7" s="2">
        <v>46205</v>
      </c>
      <c r="E7" s="3" t="s">
        <v>73</v>
      </c>
      <c r="F7" s="3">
        <v>850</v>
      </c>
    </row>
    <row r="8" spans="1:6" x14ac:dyDescent="0.3">
      <c r="A8" s="2">
        <v>46209</v>
      </c>
      <c r="B8" s="3" t="s">
        <v>42</v>
      </c>
      <c r="C8" s="4">
        <v>1500</v>
      </c>
      <c r="D8" s="2">
        <v>46207</v>
      </c>
      <c r="E8" s="3" t="s">
        <v>74</v>
      </c>
      <c r="F8" s="3">
        <v>300</v>
      </c>
    </row>
    <row r="9" spans="1:6" x14ac:dyDescent="0.3">
      <c r="A9" s="2">
        <v>46212</v>
      </c>
      <c r="B9" s="3" t="s">
        <v>45</v>
      </c>
      <c r="C9" s="4">
        <v>2500</v>
      </c>
      <c r="D9" s="2">
        <v>46211</v>
      </c>
      <c r="E9" s="3" t="s">
        <v>75</v>
      </c>
      <c r="F9" s="4">
        <v>1200</v>
      </c>
    </row>
    <row r="10" spans="1:6" x14ac:dyDescent="0.3">
      <c r="A10" s="2">
        <v>46215</v>
      </c>
      <c r="B10" s="3" t="s">
        <v>48</v>
      </c>
      <c r="C10" s="4">
        <v>3000</v>
      </c>
      <c r="D10" s="2">
        <v>46213</v>
      </c>
      <c r="E10" s="3" t="s">
        <v>76</v>
      </c>
      <c r="F10" s="3">
        <v>400</v>
      </c>
    </row>
    <row r="11" spans="1:6" x14ac:dyDescent="0.3">
      <c r="A11" s="2">
        <v>46220</v>
      </c>
      <c r="B11" s="3" t="s">
        <v>53</v>
      </c>
      <c r="C11" s="4">
        <v>2000</v>
      </c>
      <c r="D11" s="2">
        <v>46214</v>
      </c>
      <c r="E11" s="3" t="s">
        <v>77</v>
      </c>
      <c r="F11" s="3">
        <v>650</v>
      </c>
    </row>
    <row r="12" spans="1:6" x14ac:dyDescent="0.3">
      <c r="A12" s="2">
        <v>46223</v>
      </c>
      <c r="B12" s="3" t="s">
        <v>45</v>
      </c>
      <c r="C12" s="4">
        <v>2500</v>
      </c>
      <c r="D12" s="2">
        <v>46216</v>
      </c>
      <c r="E12" s="3" t="s">
        <v>78</v>
      </c>
      <c r="F12" s="4">
        <v>1500</v>
      </c>
    </row>
    <row r="13" spans="1:6" x14ac:dyDescent="0.3">
      <c r="A13" s="3"/>
      <c r="B13" s="3"/>
      <c r="C13" s="3"/>
      <c r="D13" s="2">
        <v>46217</v>
      </c>
      <c r="E13" s="3" t="s">
        <v>79</v>
      </c>
      <c r="F13" s="3">
        <v>250</v>
      </c>
    </row>
    <row r="14" spans="1:6" x14ac:dyDescent="0.3">
      <c r="A14" s="3"/>
      <c r="B14" s="3"/>
      <c r="C14" s="3"/>
      <c r="D14" s="2">
        <v>46218</v>
      </c>
      <c r="E14" s="3" t="s">
        <v>80</v>
      </c>
      <c r="F14" s="4">
        <v>1000</v>
      </c>
    </row>
    <row r="15" spans="1:6" x14ac:dyDescent="0.3">
      <c r="A15" s="3"/>
      <c r="B15" s="3"/>
      <c r="C15" s="3"/>
      <c r="D15" s="2">
        <v>46219</v>
      </c>
      <c r="E15" s="3" t="s">
        <v>81</v>
      </c>
      <c r="F15" s="3">
        <v>350</v>
      </c>
    </row>
    <row r="16" spans="1:6" x14ac:dyDescent="0.3">
      <c r="A16" s="3"/>
      <c r="B16" s="3"/>
      <c r="C16" s="3"/>
      <c r="D16" s="2">
        <v>46222</v>
      </c>
      <c r="E16" s="3" t="s">
        <v>75</v>
      </c>
      <c r="F16" s="4">
        <v>1500</v>
      </c>
    </row>
    <row r="17" spans="1:10" x14ac:dyDescent="0.3">
      <c r="A17" s="3"/>
      <c r="B17" s="3"/>
      <c r="C17" s="3"/>
      <c r="D17" s="2">
        <v>46225</v>
      </c>
      <c r="E17" s="3" t="s">
        <v>110</v>
      </c>
      <c r="F17" s="4">
        <v>350</v>
      </c>
    </row>
    <row r="18" spans="1:10" x14ac:dyDescent="0.3">
      <c r="A18" s="3"/>
      <c r="B18" s="3"/>
      <c r="C18" s="3"/>
      <c r="D18" s="2">
        <v>46226</v>
      </c>
      <c r="E18" s="3" t="s">
        <v>109</v>
      </c>
      <c r="F18" s="4">
        <v>200</v>
      </c>
    </row>
    <row r="19" spans="1:10" x14ac:dyDescent="0.3">
      <c r="A19" s="3"/>
      <c r="B19" s="3"/>
      <c r="C19" s="3"/>
      <c r="D19" s="2">
        <v>46227</v>
      </c>
      <c r="E19" s="3" t="s">
        <v>111</v>
      </c>
      <c r="F19" s="4">
        <v>500</v>
      </c>
    </row>
    <row r="20" spans="1:10" x14ac:dyDescent="0.3">
      <c r="A20" s="3"/>
      <c r="B20" s="3"/>
      <c r="C20" s="3"/>
      <c r="D20" s="2">
        <v>46228</v>
      </c>
      <c r="E20" s="3" t="s">
        <v>112</v>
      </c>
      <c r="F20" s="4">
        <v>400</v>
      </c>
    </row>
    <row r="21" spans="1:10" x14ac:dyDescent="0.3">
      <c r="A21" s="3"/>
      <c r="B21" s="3"/>
      <c r="C21" s="3"/>
      <c r="D21" s="2">
        <v>46230</v>
      </c>
      <c r="E21" s="3" t="s">
        <v>110</v>
      </c>
      <c r="F21" s="4">
        <v>350</v>
      </c>
    </row>
    <row r="22" spans="1:10" x14ac:dyDescent="0.3">
      <c r="A22" s="3"/>
      <c r="B22" s="3"/>
      <c r="C22" s="3"/>
      <c r="D22" s="2">
        <v>46231</v>
      </c>
      <c r="E22" s="3" t="s">
        <v>113</v>
      </c>
      <c r="F22" s="4">
        <v>300</v>
      </c>
    </row>
    <row r="23" spans="1:10" x14ac:dyDescent="0.3">
      <c r="A23" s="3"/>
      <c r="B23" s="3"/>
      <c r="C23" s="3"/>
      <c r="D23" s="2">
        <v>46233</v>
      </c>
      <c r="E23" s="3" t="s">
        <v>109</v>
      </c>
      <c r="F23" s="4">
        <v>100</v>
      </c>
      <c r="H23">
        <f>SUM(F7:F23)</f>
        <v>10200</v>
      </c>
      <c r="I23" s="17">
        <f>F25-H23</f>
        <v>41300</v>
      </c>
    </row>
    <row r="24" spans="1:10" x14ac:dyDescent="0.3">
      <c r="A24" s="3"/>
      <c r="B24" s="3"/>
      <c r="C24" s="3"/>
      <c r="D24" s="2">
        <v>46224</v>
      </c>
      <c r="E24" s="3" t="s">
        <v>82</v>
      </c>
      <c r="F24" s="4">
        <v>41300</v>
      </c>
      <c r="J24" s="17"/>
    </row>
    <row r="25" spans="1:10" x14ac:dyDescent="0.3">
      <c r="A25" s="3" t="s">
        <v>83</v>
      </c>
      <c r="B25" s="3"/>
      <c r="C25" s="4">
        <f>SUM(C7:C12)</f>
        <v>51500</v>
      </c>
      <c r="D25" s="3" t="s">
        <v>83</v>
      </c>
      <c r="E25" s="3"/>
      <c r="F25" s="4">
        <v>51500</v>
      </c>
    </row>
    <row r="28" spans="1:10" x14ac:dyDescent="0.3">
      <c r="A28" s="16" t="s">
        <v>84</v>
      </c>
      <c r="B28" s="16"/>
      <c r="C28" s="16"/>
      <c r="D28" s="16"/>
      <c r="E28" s="16"/>
      <c r="F28" s="16"/>
    </row>
    <row r="31" spans="1:10" x14ac:dyDescent="0.3">
      <c r="A31" s="1" t="s">
        <v>0</v>
      </c>
      <c r="B31" s="1" t="s">
        <v>31</v>
      </c>
      <c r="C31" s="1" t="s">
        <v>72</v>
      </c>
      <c r="D31" s="1" t="s">
        <v>0</v>
      </c>
      <c r="E31" s="1" t="s">
        <v>31</v>
      </c>
      <c r="F31" s="1" t="s">
        <v>72</v>
      </c>
    </row>
    <row r="32" spans="1:10" x14ac:dyDescent="0.3">
      <c r="A32" s="3"/>
      <c r="B32" s="3"/>
      <c r="C32" s="3"/>
      <c r="D32" s="2">
        <v>46206</v>
      </c>
      <c r="E32" s="3" t="s">
        <v>85</v>
      </c>
      <c r="F32" s="3">
        <v>200</v>
      </c>
    </row>
    <row r="33" spans="1:6" x14ac:dyDescent="0.3">
      <c r="A33" s="3"/>
      <c r="B33" s="3"/>
      <c r="C33" s="3"/>
      <c r="D33" s="2">
        <v>46208</v>
      </c>
      <c r="E33" s="3" t="s">
        <v>86</v>
      </c>
      <c r="F33" s="3">
        <v>250</v>
      </c>
    </row>
    <row r="34" spans="1:6" x14ac:dyDescent="0.3">
      <c r="A34" s="3"/>
      <c r="B34" s="3"/>
      <c r="C34" s="3"/>
      <c r="D34" s="2">
        <v>46210</v>
      </c>
      <c r="E34" s="3" t="s">
        <v>87</v>
      </c>
      <c r="F34" s="3">
        <v>600</v>
      </c>
    </row>
    <row r="35" spans="1:6" x14ac:dyDescent="0.3">
      <c r="A35" s="3"/>
      <c r="B35" s="3"/>
      <c r="C35" s="3"/>
      <c r="D35" s="2">
        <v>46221</v>
      </c>
      <c r="E35" s="3" t="s">
        <v>87</v>
      </c>
      <c r="F35" s="3">
        <v>550</v>
      </c>
    </row>
    <row r="36" spans="1:6" x14ac:dyDescent="0.3">
      <c r="A36" s="3"/>
      <c r="B36" s="3"/>
      <c r="C36" s="3"/>
      <c r="D36" s="2">
        <v>46224</v>
      </c>
      <c r="E36" s="3" t="s">
        <v>88</v>
      </c>
      <c r="F36" s="3">
        <v>300</v>
      </c>
    </row>
    <row r="37" spans="1:6" x14ac:dyDescent="0.3">
      <c r="A37" s="3"/>
      <c r="B37" s="3"/>
      <c r="C37" s="3"/>
      <c r="D37" s="2">
        <v>46224</v>
      </c>
      <c r="E37" s="3" t="s">
        <v>82</v>
      </c>
      <c r="F37" s="4">
        <v>1900</v>
      </c>
    </row>
    <row r="38" spans="1:6" x14ac:dyDescent="0.3">
      <c r="A38" s="3" t="s">
        <v>83</v>
      </c>
      <c r="B38" s="3"/>
      <c r="C38" s="4">
        <v>1900</v>
      </c>
      <c r="D38" s="3" t="s">
        <v>83</v>
      </c>
      <c r="E38" s="3"/>
      <c r="F38" s="4">
        <v>1900</v>
      </c>
    </row>
    <row r="44" spans="1:6" x14ac:dyDescent="0.3">
      <c r="A44" s="16" t="s">
        <v>89</v>
      </c>
      <c r="B44" s="16"/>
      <c r="C44" s="16"/>
      <c r="D44" s="16"/>
      <c r="E44" s="16"/>
      <c r="F44" s="16"/>
    </row>
    <row r="47" spans="1:6" x14ac:dyDescent="0.3">
      <c r="A47" s="1" t="s">
        <v>0</v>
      </c>
      <c r="B47" s="1" t="s">
        <v>31</v>
      </c>
      <c r="C47" s="1" t="s">
        <v>72</v>
      </c>
      <c r="D47" s="1" t="s">
        <v>0</v>
      </c>
      <c r="E47" s="1" t="s">
        <v>31</v>
      </c>
      <c r="F47" s="1" t="s">
        <v>72</v>
      </c>
    </row>
    <row r="48" spans="1:6" x14ac:dyDescent="0.3">
      <c r="A48" s="2">
        <v>46234</v>
      </c>
      <c r="B48" s="3" t="s">
        <v>90</v>
      </c>
      <c r="C48" s="4">
        <v>40000</v>
      </c>
      <c r="D48" s="2">
        <v>46204</v>
      </c>
      <c r="E48" s="3" t="s">
        <v>91</v>
      </c>
      <c r="F48" s="4">
        <v>40000</v>
      </c>
    </row>
    <row r="49" spans="1:6" x14ac:dyDescent="0.3">
      <c r="A49" s="3" t="s">
        <v>83</v>
      </c>
      <c r="B49" s="3"/>
      <c r="C49" s="4">
        <v>40000</v>
      </c>
      <c r="D49" s="3" t="s">
        <v>83</v>
      </c>
      <c r="E49" s="3"/>
      <c r="F49" s="4">
        <v>40000</v>
      </c>
    </row>
    <row r="51" spans="1:6" x14ac:dyDescent="0.3">
      <c r="A51" s="16" t="s">
        <v>92</v>
      </c>
      <c r="B51" s="16"/>
      <c r="C51" s="16"/>
      <c r="D51" s="16"/>
      <c r="E51" s="16"/>
      <c r="F51" s="16"/>
    </row>
    <row r="54" spans="1:6" x14ac:dyDescent="0.3">
      <c r="A54" s="1" t="s">
        <v>0</v>
      </c>
      <c r="B54" s="1" t="s">
        <v>31</v>
      </c>
      <c r="C54" s="1" t="s">
        <v>72</v>
      </c>
      <c r="D54" s="1" t="s">
        <v>0</v>
      </c>
      <c r="E54" s="1" t="s">
        <v>31</v>
      </c>
      <c r="F54" s="1" t="s">
        <v>72</v>
      </c>
    </row>
    <row r="55" spans="1:6" x14ac:dyDescent="0.3">
      <c r="A55" s="2">
        <v>46205</v>
      </c>
      <c r="B55" s="3" t="s">
        <v>37</v>
      </c>
      <c r="C55" s="3">
        <v>850</v>
      </c>
      <c r="D55" s="2">
        <v>46234</v>
      </c>
      <c r="E55" s="3" t="s">
        <v>82</v>
      </c>
      <c r="F55" s="3">
        <v>1350</v>
      </c>
    </row>
    <row r="56" spans="1:6" x14ac:dyDescent="0.3">
      <c r="A56" s="13">
        <v>46227</v>
      </c>
      <c r="B56" s="3" t="s">
        <v>37</v>
      </c>
      <c r="C56" s="3">
        <v>500</v>
      </c>
      <c r="D56" s="2"/>
      <c r="E56" s="3"/>
      <c r="F56" s="3"/>
    </row>
    <row r="57" spans="1:6" x14ac:dyDescent="0.3">
      <c r="A57" s="3" t="s">
        <v>83</v>
      </c>
      <c r="B57" s="3"/>
      <c r="C57" s="3">
        <v>1350</v>
      </c>
      <c r="D57" s="3" t="s">
        <v>83</v>
      </c>
      <c r="E57" s="3"/>
      <c r="F57" s="3">
        <v>1350</v>
      </c>
    </row>
    <row r="59" spans="1:6" x14ac:dyDescent="0.3">
      <c r="A59" s="16" t="s">
        <v>93</v>
      </c>
      <c r="B59" s="16"/>
      <c r="C59" s="16"/>
      <c r="D59" s="16"/>
      <c r="E59" s="16"/>
      <c r="F59" s="16"/>
    </row>
    <row r="62" spans="1:6" x14ac:dyDescent="0.3">
      <c r="A62" s="1" t="s">
        <v>0</v>
      </c>
      <c r="B62" s="1" t="s">
        <v>31</v>
      </c>
      <c r="C62" s="1" t="s">
        <v>72</v>
      </c>
      <c r="D62" s="1" t="s">
        <v>0</v>
      </c>
      <c r="E62" s="1" t="s">
        <v>31</v>
      </c>
      <c r="F62" s="1" t="s">
        <v>72</v>
      </c>
    </row>
    <row r="63" spans="1:6" x14ac:dyDescent="0.3">
      <c r="A63" s="2">
        <v>46206</v>
      </c>
      <c r="B63" s="3" t="s">
        <v>39</v>
      </c>
      <c r="C63" s="3">
        <v>200</v>
      </c>
      <c r="D63" s="2">
        <v>46234</v>
      </c>
      <c r="E63" s="3" t="s">
        <v>82</v>
      </c>
      <c r="F63" s="3">
        <v>200</v>
      </c>
    </row>
    <row r="64" spans="1:6" x14ac:dyDescent="0.3">
      <c r="A64" s="3" t="s">
        <v>83</v>
      </c>
      <c r="B64" s="3"/>
      <c r="C64" s="3">
        <v>200</v>
      </c>
      <c r="D64" s="3" t="s">
        <v>83</v>
      </c>
      <c r="E64" s="3"/>
      <c r="F64" s="3">
        <v>200</v>
      </c>
    </row>
    <row r="66" spans="1:8" x14ac:dyDescent="0.3">
      <c r="A66" s="16" t="s">
        <v>94</v>
      </c>
      <c r="B66" s="16"/>
      <c r="C66" s="16"/>
      <c r="D66" s="16"/>
      <c r="E66" s="16"/>
      <c r="F66" s="16"/>
      <c r="H66" s="13"/>
    </row>
    <row r="68" spans="1:8" x14ac:dyDescent="0.3">
      <c r="A68" s="1" t="s">
        <v>0</v>
      </c>
      <c r="B68" s="1" t="s">
        <v>31</v>
      </c>
      <c r="C68" s="1" t="s">
        <v>72</v>
      </c>
      <c r="D68" s="1" t="s">
        <v>0</v>
      </c>
      <c r="E68" s="1" t="s">
        <v>31</v>
      </c>
      <c r="F68" s="1" t="s">
        <v>72</v>
      </c>
    </row>
    <row r="69" spans="1:8" x14ac:dyDescent="0.3">
      <c r="A69" s="2">
        <v>46207</v>
      </c>
      <c r="B69" s="3" t="s">
        <v>37</v>
      </c>
      <c r="C69" s="3">
        <v>300</v>
      </c>
      <c r="D69" s="2">
        <v>46234</v>
      </c>
      <c r="E69" s="3" t="s">
        <v>82</v>
      </c>
      <c r="F69" s="3">
        <v>300</v>
      </c>
    </row>
    <row r="70" spans="1:8" x14ac:dyDescent="0.3">
      <c r="A70" s="3" t="s">
        <v>83</v>
      </c>
      <c r="B70" s="3"/>
      <c r="C70" s="3">
        <v>300</v>
      </c>
      <c r="D70" s="3" t="s">
        <v>83</v>
      </c>
      <c r="E70" s="3"/>
      <c r="F70" s="3">
        <v>300</v>
      </c>
    </row>
    <row r="72" spans="1:8" x14ac:dyDescent="0.3">
      <c r="A72" s="16" t="s">
        <v>95</v>
      </c>
      <c r="B72" s="16"/>
      <c r="C72" s="16"/>
      <c r="D72" s="16"/>
      <c r="E72" s="16"/>
      <c r="F72" s="16"/>
      <c r="G72" s="16"/>
    </row>
    <row r="74" spans="1:8" x14ac:dyDescent="0.3">
      <c r="A74" s="1" t="s">
        <v>0</v>
      </c>
      <c r="B74" s="1" t="s">
        <v>31</v>
      </c>
      <c r="C74" s="1" t="s">
        <v>72</v>
      </c>
      <c r="D74" s="1" t="s">
        <v>0</v>
      </c>
      <c r="E74" s="1" t="s">
        <v>31</v>
      </c>
      <c r="F74" s="1" t="s">
        <v>72</v>
      </c>
    </row>
    <row r="75" spans="1:8" x14ac:dyDescent="0.3">
      <c r="A75" s="2">
        <v>46208</v>
      </c>
      <c r="B75" s="3" t="s">
        <v>39</v>
      </c>
      <c r="C75" s="3">
        <v>250</v>
      </c>
      <c r="D75" s="2">
        <v>46234</v>
      </c>
      <c r="E75" s="3" t="s">
        <v>82</v>
      </c>
      <c r="F75" s="3">
        <v>950</v>
      </c>
    </row>
    <row r="76" spans="1:8" x14ac:dyDescent="0.3">
      <c r="A76" s="2">
        <v>46225</v>
      </c>
      <c r="B76" s="3" t="s">
        <v>114</v>
      </c>
      <c r="C76" s="3">
        <v>350</v>
      </c>
      <c r="D76" s="2"/>
      <c r="E76" s="3"/>
      <c r="F76" s="3"/>
    </row>
    <row r="77" spans="1:8" x14ac:dyDescent="0.3">
      <c r="A77" s="2">
        <v>46230</v>
      </c>
      <c r="B77" s="3" t="s">
        <v>114</v>
      </c>
      <c r="C77" s="3">
        <v>350</v>
      </c>
      <c r="D77" s="2"/>
      <c r="E77" s="3"/>
      <c r="F77" s="3"/>
    </row>
    <row r="78" spans="1:8" x14ac:dyDescent="0.3">
      <c r="A78" s="3" t="s">
        <v>83</v>
      </c>
      <c r="B78" s="3"/>
      <c r="C78" s="3">
        <v>950</v>
      </c>
      <c r="D78" s="3" t="s">
        <v>83</v>
      </c>
      <c r="E78" s="3"/>
      <c r="F78" s="3">
        <v>950</v>
      </c>
    </row>
    <row r="80" spans="1:8" x14ac:dyDescent="0.3">
      <c r="A80" s="16" t="s">
        <v>96</v>
      </c>
      <c r="B80" s="16"/>
      <c r="C80" s="16"/>
      <c r="D80" s="16"/>
      <c r="E80" s="16"/>
      <c r="F80" s="16"/>
    </row>
    <row r="82" spans="1:6" x14ac:dyDescent="0.3">
      <c r="A82" s="1" t="s">
        <v>0</v>
      </c>
      <c r="B82" s="1" t="s">
        <v>31</v>
      </c>
      <c r="C82" s="1" t="s">
        <v>72</v>
      </c>
      <c r="D82" s="1" t="s">
        <v>0</v>
      </c>
      <c r="E82" s="1" t="s">
        <v>31</v>
      </c>
      <c r="F82" s="1" t="s">
        <v>72</v>
      </c>
    </row>
    <row r="83" spans="1:6" x14ac:dyDescent="0.3">
      <c r="A83" s="2">
        <v>46234</v>
      </c>
      <c r="B83" s="3" t="s">
        <v>90</v>
      </c>
      <c r="C83" s="4">
        <v>1500</v>
      </c>
      <c r="D83" s="2">
        <v>46209</v>
      </c>
      <c r="E83" s="3" t="s">
        <v>91</v>
      </c>
      <c r="F83" s="4">
        <v>1500</v>
      </c>
    </row>
    <row r="84" spans="1:6" x14ac:dyDescent="0.3">
      <c r="A84" s="3" t="s">
        <v>83</v>
      </c>
      <c r="B84" s="3"/>
      <c r="C84" s="4">
        <v>1500</v>
      </c>
      <c r="D84" s="3" t="s">
        <v>83</v>
      </c>
      <c r="E84" s="3"/>
      <c r="F84" s="4">
        <v>1500</v>
      </c>
    </row>
    <row r="86" spans="1:6" x14ac:dyDescent="0.3">
      <c r="A86" s="16" t="s">
        <v>97</v>
      </c>
      <c r="B86" s="16"/>
      <c r="C86" s="16"/>
      <c r="D86" s="16"/>
      <c r="E86" s="16"/>
      <c r="F86" s="16"/>
    </row>
    <row r="88" spans="1:6" x14ac:dyDescent="0.3">
      <c r="A88" s="1" t="s">
        <v>0</v>
      </c>
      <c r="B88" s="1" t="s">
        <v>31</v>
      </c>
      <c r="C88" s="1" t="s">
        <v>72</v>
      </c>
      <c r="D88" s="1" t="s">
        <v>0</v>
      </c>
      <c r="E88" s="1" t="s">
        <v>31</v>
      </c>
      <c r="F88" s="1" t="s">
        <v>72</v>
      </c>
    </row>
    <row r="89" spans="1:6" x14ac:dyDescent="0.3">
      <c r="A89" s="2">
        <v>46210</v>
      </c>
      <c r="B89" s="3" t="s">
        <v>39</v>
      </c>
      <c r="C89" s="3">
        <v>600</v>
      </c>
      <c r="D89" s="2">
        <v>46234</v>
      </c>
      <c r="E89" s="3" t="s">
        <v>82</v>
      </c>
      <c r="F89" s="4">
        <v>1150</v>
      </c>
    </row>
    <row r="90" spans="1:6" x14ac:dyDescent="0.3">
      <c r="A90" s="2">
        <v>46221</v>
      </c>
      <c r="B90" s="3" t="s">
        <v>39</v>
      </c>
      <c r="C90" s="3">
        <v>550</v>
      </c>
      <c r="D90" s="3"/>
      <c r="E90" s="3"/>
      <c r="F90" s="3"/>
    </row>
    <row r="91" spans="1:6" x14ac:dyDescent="0.3">
      <c r="A91" s="3" t="s">
        <v>83</v>
      </c>
      <c r="B91" s="3"/>
      <c r="C91" s="4">
        <v>1150</v>
      </c>
      <c r="D91" s="3" t="s">
        <v>83</v>
      </c>
      <c r="E91" s="3"/>
      <c r="F91" s="4">
        <v>1150</v>
      </c>
    </row>
    <row r="93" spans="1:6" x14ac:dyDescent="0.3">
      <c r="A93" s="16" t="s">
        <v>98</v>
      </c>
      <c r="B93" s="16"/>
      <c r="C93" s="16"/>
      <c r="D93" s="16"/>
      <c r="E93" s="16"/>
      <c r="F93" s="16"/>
    </row>
    <row r="95" spans="1:6" x14ac:dyDescent="0.3">
      <c r="A95" s="1" t="s">
        <v>0</v>
      </c>
      <c r="B95" s="1" t="s">
        <v>31</v>
      </c>
      <c r="C95" s="1" t="s">
        <v>72</v>
      </c>
      <c r="D95" s="1" t="s">
        <v>0</v>
      </c>
      <c r="E95" s="1" t="s">
        <v>31</v>
      </c>
      <c r="F95" s="1" t="s">
        <v>72</v>
      </c>
    </row>
    <row r="96" spans="1:6" x14ac:dyDescent="0.3">
      <c r="A96" s="2">
        <v>46211</v>
      </c>
      <c r="B96" s="3" t="s">
        <v>37</v>
      </c>
      <c r="C96" s="4">
        <v>1200</v>
      </c>
      <c r="D96" s="2">
        <v>46234</v>
      </c>
      <c r="E96" s="3" t="s">
        <v>82</v>
      </c>
      <c r="F96" s="4">
        <v>2700</v>
      </c>
    </row>
    <row r="97" spans="1:7" x14ac:dyDescent="0.3">
      <c r="A97" s="2">
        <v>46222</v>
      </c>
      <c r="B97" s="3" t="s">
        <v>37</v>
      </c>
      <c r="C97" s="4">
        <v>1500</v>
      </c>
      <c r="D97" s="3"/>
      <c r="E97" s="3"/>
      <c r="F97" s="3"/>
    </row>
    <row r="98" spans="1:7" x14ac:dyDescent="0.3">
      <c r="A98" s="3" t="s">
        <v>83</v>
      </c>
      <c r="B98" s="3"/>
      <c r="C98" s="4">
        <v>2700</v>
      </c>
      <c r="D98" s="3" t="s">
        <v>83</v>
      </c>
      <c r="E98" s="3"/>
      <c r="F98" s="4">
        <v>2700</v>
      </c>
    </row>
    <row r="101" spans="1:7" x14ac:dyDescent="0.3">
      <c r="A101" s="16" t="s">
        <v>99</v>
      </c>
      <c r="B101" s="16"/>
      <c r="C101" s="16"/>
      <c r="D101" s="16"/>
      <c r="E101" s="16"/>
      <c r="F101" s="16"/>
    </row>
    <row r="102" spans="1:7" x14ac:dyDescent="0.3">
      <c r="A102" s="1" t="s">
        <v>0</v>
      </c>
      <c r="B102" s="1" t="s">
        <v>31</v>
      </c>
      <c r="C102" s="1" t="s">
        <v>72</v>
      </c>
      <c r="D102" s="1" t="s">
        <v>0</v>
      </c>
      <c r="E102" s="1" t="s">
        <v>31</v>
      </c>
      <c r="F102" s="1" t="s">
        <v>72</v>
      </c>
    </row>
    <row r="103" spans="1:7" x14ac:dyDescent="0.3">
      <c r="A103" s="2">
        <v>46234</v>
      </c>
      <c r="B103" s="3" t="s">
        <v>90</v>
      </c>
      <c r="C103" s="4">
        <v>5000</v>
      </c>
      <c r="D103" s="2">
        <v>46212</v>
      </c>
      <c r="E103" s="3" t="s">
        <v>91</v>
      </c>
      <c r="F103" s="4">
        <v>2500</v>
      </c>
    </row>
    <row r="104" spans="1:7" x14ac:dyDescent="0.3">
      <c r="A104" s="3"/>
      <c r="B104" s="3"/>
      <c r="C104" s="3"/>
      <c r="D104" s="2">
        <v>46223</v>
      </c>
      <c r="E104" s="3" t="s">
        <v>91</v>
      </c>
      <c r="F104" s="4">
        <v>2500</v>
      </c>
    </row>
    <row r="105" spans="1:7" x14ac:dyDescent="0.3">
      <c r="A105" s="3" t="s">
        <v>83</v>
      </c>
      <c r="B105" s="3"/>
      <c r="C105" s="4">
        <v>5000</v>
      </c>
      <c r="D105" s="3" t="s">
        <v>83</v>
      </c>
      <c r="E105" s="3"/>
      <c r="F105" s="4">
        <v>5000</v>
      </c>
    </row>
    <row r="107" spans="1:7" x14ac:dyDescent="0.3">
      <c r="A107" s="16" t="s">
        <v>100</v>
      </c>
      <c r="B107" s="16"/>
      <c r="C107" s="16"/>
      <c r="D107" s="16"/>
      <c r="E107" s="16"/>
      <c r="F107" s="16"/>
      <c r="G107" s="16"/>
    </row>
    <row r="109" spans="1:7" x14ac:dyDescent="0.3">
      <c r="A109" s="1" t="s">
        <v>0</v>
      </c>
      <c r="B109" s="1" t="s">
        <v>31</v>
      </c>
      <c r="C109" s="1" t="s">
        <v>72</v>
      </c>
      <c r="D109" s="1" t="s">
        <v>0</v>
      </c>
      <c r="E109" s="1" t="s">
        <v>31</v>
      </c>
      <c r="F109" s="1" t="s">
        <v>72</v>
      </c>
    </row>
    <row r="110" spans="1:7" x14ac:dyDescent="0.3">
      <c r="A110" s="2">
        <v>46213</v>
      </c>
      <c r="B110" s="3" t="s">
        <v>37</v>
      </c>
      <c r="C110" s="3">
        <v>400</v>
      </c>
      <c r="D110" s="2">
        <v>46234</v>
      </c>
      <c r="E110" s="3" t="s">
        <v>82</v>
      </c>
      <c r="F110" s="3">
        <v>400</v>
      </c>
    </row>
    <row r="111" spans="1:7" x14ac:dyDescent="0.3">
      <c r="A111" s="3" t="s">
        <v>83</v>
      </c>
      <c r="B111" s="3"/>
      <c r="C111" s="3">
        <v>400</v>
      </c>
      <c r="D111" s="3" t="s">
        <v>83</v>
      </c>
      <c r="E111" s="3"/>
      <c r="F111" s="3">
        <v>400</v>
      </c>
    </row>
    <row r="113" spans="1:7" x14ac:dyDescent="0.3">
      <c r="A113" s="16" t="s">
        <v>101</v>
      </c>
      <c r="B113" s="16"/>
      <c r="C113" s="16"/>
      <c r="D113" s="16"/>
      <c r="E113" s="16"/>
      <c r="F113" s="16"/>
    </row>
    <row r="115" spans="1:7" x14ac:dyDescent="0.3">
      <c r="A115" s="1" t="s">
        <v>0</v>
      </c>
      <c r="B115" s="1" t="s">
        <v>31</v>
      </c>
      <c r="C115" s="1" t="s">
        <v>72</v>
      </c>
      <c r="D115" s="1" t="s">
        <v>0</v>
      </c>
      <c r="E115" s="1" t="s">
        <v>31</v>
      </c>
      <c r="F115" s="1" t="s">
        <v>72</v>
      </c>
    </row>
    <row r="116" spans="1:7" x14ac:dyDescent="0.3">
      <c r="A116" s="2">
        <v>46214</v>
      </c>
      <c r="B116" s="3" t="s">
        <v>37</v>
      </c>
      <c r="C116" s="3">
        <v>650</v>
      </c>
      <c r="D116" s="2">
        <v>46234</v>
      </c>
      <c r="E116" s="3" t="s">
        <v>82</v>
      </c>
      <c r="F116" s="3">
        <v>650</v>
      </c>
    </row>
    <row r="117" spans="1:7" x14ac:dyDescent="0.3">
      <c r="A117" s="3" t="s">
        <v>83</v>
      </c>
      <c r="B117" s="3"/>
      <c r="C117" s="3">
        <v>650</v>
      </c>
      <c r="D117" s="3" t="s">
        <v>83</v>
      </c>
      <c r="E117" s="3"/>
      <c r="F117" s="3">
        <v>650</v>
      </c>
    </row>
    <row r="119" spans="1:7" x14ac:dyDescent="0.3">
      <c r="A119" s="16" t="s">
        <v>102</v>
      </c>
      <c r="B119" s="16"/>
      <c r="C119" s="16"/>
      <c r="D119" s="16"/>
      <c r="E119" s="16"/>
      <c r="F119" s="16"/>
    </row>
    <row r="121" spans="1:7" x14ac:dyDescent="0.3">
      <c r="A121" s="1" t="s">
        <v>0</v>
      </c>
      <c r="B121" s="1" t="s">
        <v>31</v>
      </c>
      <c r="C121" s="1" t="s">
        <v>72</v>
      </c>
      <c r="D121" s="1" t="s">
        <v>0</v>
      </c>
      <c r="E121" s="1" t="s">
        <v>31</v>
      </c>
      <c r="F121" s="1" t="s">
        <v>72</v>
      </c>
    </row>
    <row r="122" spans="1:7" x14ac:dyDescent="0.3">
      <c r="A122" s="2">
        <v>46234</v>
      </c>
      <c r="B122" s="3" t="s">
        <v>90</v>
      </c>
      <c r="C122" s="4">
        <v>3000</v>
      </c>
      <c r="D122" s="2">
        <v>46215</v>
      </c>
      <c r="E122" s="3" t="s">
        <v>91</v>
      </c>
      <c r="F122" s="4">
        <v>3000</v>
      </c>
    </row>
    <row r="123" spans="1:7" x14ac:dyDescent="0.3">
      <c r="A123" s="3" t="s">
        <v>83</v>
      </c>
      <c r="B123" s="3"/>
      <c r="C123" s="4">
        <v>3000</v>
      </c>
      <c r="D123" s="3" t="s">
        <v>83</v>
      </c>
      <c r="E123" s="3"/>
      <c r="F123" s="4">
        <v>3000</v>
      </c>
    </row>
    <row r="125" spans="1:7" x14ac:dyDescent="0.3">
      <c r="A125" s="16" t="s">
        <v>103</v>
      </c>
      <c r="B125" s="16"/>
      <c r="C125" s="16"/>
      <c r="D125" s="16"/>
      <c r="E125" s="16"/>
      <c r="F125" s="16"/>
      <c r="G125" s="16"/>
    </row>
    <row r="127" spans="1:7" x14ac:dyDescent="0.3">
      <c r="A127" s="1" t="s">
        <v>0</v>
      </c>
      <c r="B127" s="1" t="s">
        <v>31</v>
      </c>
      <c r="C127" s="1" t="s">
        <v>72</v>
      </c>
      <c r="D127" s="1" t="s">
        <v>0</v>
      </c>
      <c r="E127" s="1" t="s">
        <v>31</v>
      </c>
      <c r="F127" s="1" t="s">
        <v>72</v>
      </c>
    </row>
    <row r="128" spans="1:7" x14ac:dyDescent="0.3">
      <c r="A128" s="2">
        <v>46216</v>
      </c>
      <c r="B128" s="3" t="s">
        <v>37</v>
      </c>
      <c r="C128" s="4">
        <v>1500</v>
      </c>
      <c r="D128" s="2">
        <v>46234</v>
      </c>
      <c r="E128" s="3" t="s">
        <v>82</v>
      </c>
      <c r="F128" s="4">
        <v>1500</v>
      </c>
    </row>
    <row r="129" spans="1:6" x14ac:dyDescent="0.3">
      <c r="A129" s="3" t="s">
        <v>83</v>
      </c>
      <c r="B129" s="3"/>
      <c r="C129" s="4">
        <v>1500</v>
      </c>
      <c r="D129" s="3" t="s">
        <v>83</v>
      </c>
      <c r="E129" s="3"/>
      <c r="F129" s="4">
        <v>1500</v>
      </c>
    </row>
    <row r="131" spans="1:6" x14ac:dyDescent="0.3">
      <c r="A131" s="16" t="s">
        <v>104</v>
      </c>
      <c r="B131" s="16"/>
      <c r="C131" s="16"/>
      <c r="D131" s="16"/>
      <c r="E131" s="16"/>
      <c r="F131" s="16"/>
    </row>
    <row r="133" spans="1:6" x14ac:dyDescent="0.3">
      <c r="A133" s="1" t="s">
        <v>0</v>
      </c>
      <c r="B133" s="1" t="s">
        <v>31</v>
      </c>
      <c r="C133" s="1" t="s">
        <v>72</v>
      </c>
      <c r="D133" s="1" t="s">
        <v>0</v>
      </c>
      <c r="E133" s="1" t="s">
        <v>31</v>
      </c>
      <c r="F133" s="1" t="s">
        <v>72</v>
      </c>
    </row>
    <row r="134" spans="1:6" x14ac:dyDescent="0.3">
      <c r="A134" s="2">
        <v>46217</v>
      </c>
      <c r="B134" s="3" t="s">
        <v>37</v>
      </c>
      <c r="C134" s="3">
        <v>250</v>
      </c>
      <c r="D134" s="2">
        <v>46234</v>
      </c>
      <c r="E134" s="3" t="s">
        <v>82</v>
      </c>
      <c r="F134" s="3">
        <v>250</v>
      </c>
    </row>
    <row r="135" spans="1:6" x14ac:dyDescent="0.3">
      <c r="A135" s="3" t="s">
        <v>83</v>
      </c>
      <c r="B135" s="3"/>
      <c r="C135" s="3">
        <v>250</v>
      </c>
      <c r="D135" s="3" t="s">
        <v>83</v>
      </c>
      <c r="E135" s="3"/>
      <c r="F135" s="3">
        <v>250</v>
      </c>
    </row>
    <row r="137" spans="1:6" x14ac:dyDescent="0.3">
      <c r="A137" s="16" t="s">
        <v>105</v>
      </c>
      <c r="B137" s="16"/>
      <c r="C137" s="16"/>
      <c r="D137" s="16"/>
      <c r="E137" s="16"/>
      <c r="F137" s="16"/>
    </row>
    <row r="139" spans="1:6" x14ac:dyDescent="0.3">
      <c r="A139" s="1" t="s">
        <v>0</v>
      </c>
      <c r="B139" s="1" t="s">
        <v>31</v>
      </c>
      <c r="C139" s="1" t="s">
        <v>72</v>
      </c>
      <c r="D139" s="1" t="s">
        <v>0</v>
      </c>
      <c r="E139" s="1" t="s">
        <v>31</v>
      </c>
      <c r="F139" s="1" t="s">
        <v>72</v>
      </c>
    </row>
    <row r="140" spans="1:6" x14ac:dyDescent="0.3">
      <c r="A140" s="2">
        <v>46218</v>
      </c>
      <c r="B140" s="3" t="s">
        <v>37</v>
      </c>
      <c r="C140" s="4">
        <v>1000</v>
      </c>
      <c r="D140" s="2">
        <v>46234</v>
      </c>
      <c r="E140" s="3" t="s">
        <v>82</v>
      </c>
      <c r="F140" s="4">
        <v>1000</v>
      </c>
    </row>
    <row r="141" spans="1:6" x14ac:dyDescent="0.3">
      <c r="A141" s="3" t="s">
        <v>83</v>
      </c>
      <c r="B141" s="3"/>
      <c r="C141" s="4">
        <v>1000</v>
      </c>
      <c r="D141" s="3" t="s">
        <v>83</v>
      </c>
      <c r="E141" s="3"/>
      <c r="F141" s="4">
        <v>1000</v>
      </c>
    </row>
    <row r="143" spans="1:6" x14ac:dyDescent="0.3">
      <c r="A143" s="16" t="s">
        <v>106</v>
      </c>
      <c r="B143" s="16"/>
      <c r="C143" s="16"/>
      <c r="D143" s="16"/>
      <c r="E143" s="16"/>
      <c r="F143" s="16"/>
    </row>
    <row r="145" spans="1:6" x14ac:dyDescent="0.3">
      <c r="A145" s="1" t="s">
        <v>0</v>
      </c>
      <c r="B145" s="1" t="s">
        <v>31</v>
      </c>
      <c r="C145" s="1" t="s">
        <v>72</v>
      </c>
      <c r="D145" s="1" t="s">
        <v>0</v>
      </c>
      <c r="E145" s="1" t="s">
        <v>31</v>
      </c>
      <c r="F145" s="1" t="s">
        <v>72</v>
      </c>
    </row>
    <row r="146" spans="1:6" x14ac:dyDescent="0.3">
      <c r="A146" s="2">
        <v>46219</v>
      </c>
      <c r="B146" s="3" t="s">
        <v>37</v>
      </c>
      <c r="C146" s="3">
        <v>350</v>
      </c>
      <c r="D146" s="2">
        <v>46234</v>
      </c>
      <c r="E146" s="3" t="s">
        <v>82</v>
      </c>
      <c r="F146" s="3">
        <v>350</v>
      </c>
    </row>
    <row r="147" spans="1:6" x14ac:dyDescent="0.3">
      <c r="A147" s="3" t="s">
        <v>83</v>
      </c>
      <c r="B147" s="3"/>
      <c r="C147" s="3">
        <v>350</v>
      </c>
      <c r="D147" s="3" t="s">
        <v>83</v>
      </c>
      <c r="E147" s="3"/>
      <c r="F147" s="3">
        <v>350</v>
      </c>
    </row>
    <row r="149" spans="1:6" x14ac:dyDescent="0.3">
      <c r="A149" s="16" t="s">
        <v>107</v>
      </c>
      <c r="B149" s="16"/>
      <c r="C149" s="16"/>
      <c r="D149" s="16"/>
      <c r="E149" s="16"/>
      <c r="F149" s="16"/>
    </row>
    <row r="151" spans="1:6" x14ac:dyDescent="0.3">
      <c r="A151" s="1" t="s">
        <v>0</v>
      </c>
      <c r="B151" s="1" t="s">
        <v>31</v>
      </c>
      <c r="C151" s="1" t="s">
        <v>72</v>
      </c>
      <c r="D151" s="1" t="s">
        <v>0</v>
      </c>
      <c r="E151" s="1" t="s">
        <v>31</v>
      </c>
      <c r="F151" s="1" t="s">
        <v>72</v>
      </c>
    </row>
    <row r="152" spans="1:6" x14ac:dyDescent="0.3">
      <c r="A152" s="2">
        <v>46234</v>
      </c>
      <c r="B152" s="3" t="s">
        <v>90</v>
      </c>
      <c r="C152" s="4">
        <v>2000</v>
      </c>
      <c r="D152" s="2">
        <v>46220</v>
      </c>
      <c r="E152" s="3" t="s">
        <v>91</v>
      </c>
      <c r="F152" s="4">
        <v>2000</v>
      </c>
    </row>
    <row r="153" spans="1:6" x14ac:dyDescent="0.3">
      <c r="A153" s="3" t="s">
        <v>83</v>
      </c>
      <c r="B153" s="3"/>
      <c r="C153" s="4">
        <v>2000</v>
      </c>
      <c r="D153" s="3" t="s">
        <v>83</v>
      </c>
      <c r="E153" s="3"/>
      <c r="F153" s="4">
        <v>2000</v>
      </c>
    </row>
    <row r="155" spans="1:6" x14ac:dyDescent="0.3">
      <c r="A155" s="16" t="s">
        <v>108</v>
      </c>
      <c r="B155" s="16"/>
      <c r="C155" s="16"/>
      <c r="D155" s="16"/>
      <c r="E155" s="16"/>
      <c r="F155" s="16"/>
    </row>
    <row r="157" spans="1:6" x14ac:dyDescent="0.3">
      <c r="A157" s="1" t="s">
        <v>0</v>
      </c>
      <c r="B157" s="1" t="s">
        <v>31</v>
      </c>
      <c r="C157" s="1" t="s">
        <v>72</v>
      </c>
      <c r="D157" s="1" t="s">
        <v>0</v>
      </c>
      <c r="E157" s="1" t="s">
        <v>31</v>
      </c>
      <c r="F157" s="1" t="s">
        <v>72</v>
      </c>
    </row>
    <row r="158" spans="1:6" x14ac:dyDescent="0.3">
      <c r="A158" s="2">
        <v>46224</v>
      </c>
      <c r="B158" s="3" t="s">
        <v>39</v>
      </c>
      <c r="C158" s="3">
        <v>300</v>
      </c>
      <c r="D158" s="2">
        <v>46234</v>
      </c>
      <c r="E158" s="3" t="s">
        <v>82</v>
      </c>
      <c r="F158" s="3">
        <v>300</v>
      </c>
    </row>
    <row r="159" spans="1:6" x14ac:dyDescent="0.3">
      <c r="A159" s="3" t="s">
        <v>83</v>
      </c>
      <c r="B159" s="3"/>
      <c r="C159" s="3">
        <v>300</v>
      </c>
      <c r="D159" s="3" t="s">
        <v>83</v>
      </c>
      <c r="E159" s="3"/>
      <c r="F159" s="3">
        <v>300</v>
      </c>
    </row>
    <row r="161" spans="1:6" x14ac:dyDescent="0.3">
      <c r="C161" t="s">
        <v>115</v>
      </c>
    </row>
    <row r="162" spans="1:6" x14ac:dyDescent="0.3">
      <c r="A162" s="1" t="s">
        <v>0</v>
      </c>
      <c r="B162" s="1" t="s">
        <v>31</v>
      </c>
      <c r="C162" s="1" t="s">
        <v>72</v>
      </c>
      <c r="D162" s="1" t="s">
        <v>0</v>
      </c>
      <c r="E162" s="1" t="s">
        <v>31</v>
      </c>
      <c r="F162" s="1" t="s">
        <v>72</v>
      </c>
    </row>
    <row r="163" spans="1:6" x14ac:dyDescent="0.3">
      <c r="A163" s="13">
        <v>46226</v>
      </c>
      <c r="B163" s="3" t="s">
        <v>116</v>
      </c>
      <c r="C163" s="3">
        <v>200</v>
      </c>
      <c r="D163" s="3"/>
      <c r="E163" s="3" t="s">
        <v>120</v>
      </c>
      <c r="F163" s="3">
        <v>300</v>
      </c>
    </row>
    <row r="164" spans="1:6" x14ac:dyDescent="0.3">
      <c r="A164" s="13">
        <v>46233</v>
      </c>
      <c r="B164" s="3" t="s">
        <v>117</v>
      </c>
      <c r="C164" s="3">
        <v>100</v>
      </c>
      <c r="D164" s="3"/>
      <c r="E164" s="3"/>
      <c r="F164" s="3"/>
    </row>
    <row r="165" spans="1:6" x14ac:dyDescent="0.3">
      <c r="A165" s="3"/>
      <c r="B165" s="3"/>
      <c r="C165" s="3"/>
      <c r="D165" s="3"/>
      <c r="E165" s="3"/>
      <c r="F165" s="3"/>
    </row>
    <row r="166" spans="1:6" x14ac:dyDescent="0.3">
      <c r="A166" s="3"/>
      <c r="B166" s="3" t="s">
        <v>118</v>
      </c>
      <c r="C166" s="3">
        <v>300</v>
      </c>
      <c r="D166" s="3"/>
      <c r="E166" s="3" t="s">
        <v>119</v>
      </c>
      <c r="F166" s="3">
        <v>300</v>
      </c>
    </row>
    <row r="168" spans="1:6" x14ac:dyDescent="0.3">
      <c r="C168" s="18" t="s">
        <v>122</v>
      </c>
    </row>
    <row r="170" spans="1:6" x14ac:dyDescent="0.3">
      <c r="A170" s="1" t="s">
        <v>0</v>
      </c>
      <c r="B170" s="1" t="s">
        <v>31</v>
      </c>
      <c r="C170" s="1" t="s">
        <v>72</v>
      </c>
      <c r="D170" s="1" t="s">
        <v>0</v>
      </c>
      <c r="E170" s="1" t="s">
        <v>31</v>
      </c>
      <c r="F170" s="1" t="s">
        <v>72</v>
      </c>
    </row>
    <row r="171" spans="1:6" x14ac:dyDescent="0.3">
      <c r="A171" s="13">
        <v>46228</v>
      </c>
      <c r="B171" s="3" t="s">
        <v>123</v>
      </c>
      <c r="C171" s="3">
        <v>400</v>
      </c>
      <c r="D171" s="3"/>
      <c r="E171" s="3" t="s">
        <v>124</v>
      </c>
      <c r="F171" s="3">
        <v>400</v>
      </c>
    </row>
    <row r="172" spans="1:6" x14ac:dyDescent="0.3">
      <c r="A172" s="3"/>
      <c r="B172" s="3"/>
      <c r="C172" s="3"/>
      <c r="D172" s="3"/>
      <c r="E172" s="3"/>
      <c r="F172" s="3"/>
    </row>
    <row r="173" spans="1:6" x14ac:dyDescent="0.3">
      <c r="A173" s="3"/>
      <c r="B173" s="3" t="s">
        <v>125</v>
      </c>
      <c r="C173" s="15">
        <v>400</v>
      </c>
      <c r="D173" s="3"/>
      <c r="E173" s="3" t="s">
        <v>83</v>
      </c>
      <c r="F173" s="15">
        <v>400</v>
      </c>
    </row>
    <row r="174" spans="1:6" x14ac:dyDescent="0.3">
      <c r="A174" s="3"/>
      <c r="B174" s="3"/>
      <c r="C174" s="3"/>
      <c r="D174" s="3"/>
      <c r="E174" s="3"/>
      <c r="F174" s="3"/>
    </row>
    <row r="176" spans="1:6" x14ac:dyDescent="0.3">
      <c r="A176" s="19" t="s">
        <v>126</v>
      </c>
      <c r="B176" s="19"/>
      <c r="C176" s="19"/>
      <c r="D176" s="19"/>
      <c r="E176" s="19"/>
      <c r="F176" s="19"/>
    </row>
    <row r="178" spans="1:6" x14ac:dyDescent="0.3">
      <c r="A178" s="1" t="s">
        <v>0</v>
      </c>
      <c r="B178" s="1" t="s">
        <v>31</v>
      </c>
      <c r="C178" s="1" t="s">
        <v>72</v>
      </c>
      <c r="D178" s="1" t="s">
        <v>0</v>
      </c>
      <c r="E178" s="1" t="s">
        <v>31</v>
      </c>
      <c r="F178" s="1" t="s">
        <v>72</v>
      </c>
    </row>
    <row r="179" spans="1:6" x14ac:dyDescent="0.3">
      <c r="A179" s="13">
        <v>46231</v>
      </c>
      <c r="B179" s="3" t="s">
        <v>123</v>
      </c>
      <c r="C179" s="3">
        <v>300</v>
      </c>
      <c r="D179" s="3"/>
      <c r="E179" s="3" t="s">
        <v>124</v>
      </c>
      <c r="F179" s="3">
        <v>300</v>
      </c>
    </row>
    <row r="180" spans="1:6" x14ac:dyDescent="0.3">
      <c r="A180" s="3"/>
      <c r="B180" s="3"/>
      <c r="C180" s="3"/>
      <c r="D180" s="3"/>
      <c r="E180" s="3"/>
      <c r="F180" s="3"/>
    </row>
    <row r="181" spans="1:6" x14ac:dyDescent="0.3">
      <c r="A181" s="3"/>
      <c r="B181" s="3" t="s">
        <v>83</v>
      </c>
      <c r="C181" s="15">
        <v>300</v>
      </c>
      <c r="D181" s="3"/>
      <c r="E181" s="3" t="s">
        <v>83</v>
      </c>
      <c r="F181" s="15">
        <v>300</v>
      </c>
    </row>
    <row r="182" spans="1:6" x14ac:dyDescent="0.3">
      <c r="A182" s="3"/>
      <c r="B182" s="3"/>
      <c r="C182" s="3"/>
      <c r="D182" s="3"/>
      <c r="E182" s="3"/>
      <c r="F182" s="3"/>
    </row>
  </sheetData>
  <mergeCells count="22">
    <mergeCell ref="A143:F143"/>
    <mergeCell ref="A149:F149"/>
    <mergeCell ref="A155:F155"/>
    <mergeCell ref="A176:F176"/>
    <mergeCell ref="A107:G107"/>
    <mergeCell ref="A113:F113"/>
    <mergeCell ref="A119:F119"/>
    <mergeCell ref="A125:G125"/>
    <mergeCell ref="A131:F131"/>
    <mergeCell ref="A137:F137"/>
    <mergeCell ref="A66:F66"/>
    <mergeCell ref="A72:G72"/>
    <mergeCell ref="A80:F80"/>
    <mergeCell ref="A86:F86"/>
    <mergeCell ref="A93:F93"/>
    <mergeCell ref="A101:F101"/>
    <mergeCell ref="A1:F1"/>
    <mergeCell ref="A3:F3"/>
    <mergeCell ref="A28:F28"/>
    <mergeCell ref="A44:F44"/>
    <mergeCell ref="A51:F51"/>
    <mergeCell ref="A59:F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E796-7050-4689-A7AE-30C020A26FC5}">
  <dimension ref="A1:G29"/>
  <sheetViews>
    <sheetView workbookViewId="0">
      <selection activeCell="A3" sqref="A3:D29"/>
    </sheetView>
  </sheetViews>
  <sheetFormatPr defaultRowHeight="14.4" x14ac:dyDescent="0.3"/>
  <cols>
    <col min="2" max="2" width="41.77734375" customWidth="1"/>
    <col min="3" max="3" width="11.6640625" customWidth="1"/>
    <col min="4" max="4" width="10.77734375" customWidth="1"/>
  </cols>
  <sheetData>
    <row r="1" spans="1:7" ht="18" x14ac:dyDescent="0.35">
      <c r="A1" s="20" t="s">
        <v>127</v>
      </c>
      <c r="B1" s="20"/>
      <c r="C1" s="20"/>
      <c r="D1" s="20"/>
    </row>
    <row r="2" spans="1:7" x14ac:dyDescent="0.3">
      <c r="A2" s="14"/>
      <c r="B2" s="14"/>
      <c r="C2" s="14"/>
      <c r="D2" s="14"/>
    </row>
    <row r="3" spans="1:7" x14ac:dyDescent="0.3">
      <c r="A3" s="1" t="s">
        <v>128</v>
      </c>
      <c r="B3" s="1" t="s">
        <v>31</v>
      </c>
      <c r="C3" s="1" t="s">
        <v>129</v>
      </c>
      <c r="D3" s="1" t="s">
        <v>130</v>
      </c>
    </row>
    <row r="4" spans="1:7" x14ac:dyDescent="0.3">
      <c r="A4" s="3"/>
      <c r="B4" s="3" t="s">
        <v>71</v>
      </c>
      <c r="C4" s="4">
        <v>41300</v>
      </c>
      <c r="D4" s="3"/>
    </row>
    <row r="5" spans="1:7" x14ac:dyDescent="0.3">
      <c r="A5" s="3"/>
      <c r="B5" s="3" t="s">
        <v>131</v>
      </c>
      <c r="C5" s="4">
        <v>1900</v>
      </c>
      <c r="D5" s="3"/>
    </row>
    <row r="6" spans="1:7" x14ac:dyDescent="0.3">
      <c r="A6" s="3"/>
      <c r="B6" s="3" t="s">
        <v>132</v>
      </c>
      <c r="C6" s="3"/>
      <c r="D6" s="4">
        <v>40000</v>
      </c>
      <c r="G6" s="17"/>
    </row>
    <row r="7" spans="1:7" x14ac:dyDescent="0.3">
      <c r="A7" s="3"/>
      <c r="B7" s="3" t="s">
        <v>133</v>
      </c>
      <c r="C7" s="4">
        <v>1350</v>
      </c>
      <c r="D7" s="3"/>
    </row>
    <row r="8" spans="1:7" x14ac:dyDescent="0.3">
      <c r="A8" s="3"/>
      <c r="B8" s="3" t="s">
        <v>134</v>
      </c>
      <c r="C8" s="4">
        <v>200</v>
      </c>
      <c r="D8" s="3"/>
    </row>
    <row r="9" spans="1:7" x14ac:dyDescent="0.3">
      <c r="A9" s="3"/>
      <c r="B9" s="3" t="s">
        <v>135</v>
      </c>
      <c r="C9" s="4">
        <v>300</v>
      </c>
      <c r="D9" s="3"/>
    </row>
    <row r="10" spans="1:7" x14ac:dyDescent="0.3">
      <c r="A10" s="3"/>
      <c r="B10" s="3" t="s">
        <v>136</v>
      </c>
      <c r="C10" s="4">
        <v>950</v>
      </c>
      <c r="D10" s="3"/>
    </row>
    <row r="11" spans="1:7" x14ac:dyDescent="0.3">
      <c r="A11" s="3"/>
      <c r="B11" s="3" t="s">
        <v>137</v>
      </c>
      <c r="C11" s="3"/>
      <c r="D11" s="4">
        <v>2300</v>
      </c>
    </row>
    <row r="12" spans="1:7" x14ac:dyDescent="0.3">
      <c r="A12" s="3"/>
      <c r="B12" s="3" t="s">
        <v>138</v>
      </c>
      <c r="C12" s="4">
        <v>1150</v>
      </c>
      <c r="D12" s="3"/>
    </row>
    <row r="13" spans="1:7" x14ac:dyDescent="0.3">
      <c r="A13" s="3"/>
      <c r="B13" s="3" t="s">
        <v>139</v>
      </c>
      <c r="C13" s="4">
        <v>2700</v>
      </c>
      <c r="D13" s="3"/>
    </row>
    <row r="14" spans="1:7" x14ac:dyDescent="0.3">
      <c r="A14" s="3"/>
      <c r="B14" s="3" t="s">
        <v>99</v>
      </c>
      <c r="C14" s="3"/>
      <c r="D14" s="4">
        <v>5000</v>
      </c>
    </row>
    <row r="15" spans="1:7" x14ac:dyDescent="0.3">
      <c r="A15" s="3"/>
      <c r="B15" s="3" t="s">
        <v>140</v>
      </c>
      <c r="C15" s="4">
        <v>400</v>
      </c>
      <c r="D15" s="3"/>
    </row>
    <row r="16" spans="1:7" x14ac:dyDescent="0.3">
      <c r="A16" s="3"/>
      <c r="B16" s="3" t="s">
        <v>141</v>
      </c>
      <c r="C16" s="4">
        <v>650</v>
      </c>
      <c r="D16" s="3"/>
    </row>
    <row r="17" spans="1:4" x14ac:dyDescent="0.3">
      <c r="A17" s="3"/>
      <c r="B17" s="3" t="s">
        <v>142</v>
      </c>
      <c r="C17" s="3"/>
      <c r="D17" s="4">
        <v>5000</v>
      </c>
    </row>
    <row r="18" spans="1:4" x14ac:dyDescent="0.3">
      <c r="A18" s="3"/>
      <c r="B18" s="3" t="s">
        <v>143</v>
      </c>
      <c r="C18" s="4">
        <v>1500</v>
      </c>
      <c r="D18" s="3"/>
    </row>
    <row r="19" spans="1:4" x14ac:dyDescent="0.3">
      <c r="A19" s="3"/>
      <c r="B19" s="3" t="s">
        <v>144</v>
      </c>
      <c r="C19" s="4">
        <v>250</v>
      </c>
      <c r="D19" s="3"/>
    </row>
    <row r="20" spans="1:4" x14ac:dyDescent="0.3">
      <c r="A20" s="3"/>
      <c r="B20" s="3" t="s">
        <v>145</v>
      </c>
      <c r="C20" s="4">
        <v>1000</v>
      </c>
      <c r="D20" s="3"/>
    </row>
    <row r="21" spans="1:4" x14ac:dyDescent="0.3">
      <c r="A21" s="3"/>
      <c r="B21" s="3" t="s">
        <v>146</v>
      </c>
      <c r="C21" s="4">
        <v>350</v>
      </c>
      <c r="D21" s="3"/>
    </row>
    <row r="22" spans="1:4" x14ac:dyDescent="0.3">
      <c r="A22" s="3"/>
      <c r="B22" s="3" t="s">
        <v>147</v>
      </c>
      <c r="C22" s="3"/>
      <c r="D22" s="4">
        <v>3000</v>
      </c>
    </row>
    <row r="23" spans="1:4" x14ac:dyDescent="0.3">
      <c r="A23" s="3"/>
      <c r="B23" s="3" t="s">
        <v>148</v>
      </c>
      <c r="C23" s="4">
        <v>300</v>
      </c>
      <c r="D23" s="3"/>
    </row>
    <row r="24" spans="1:4" x14ac:dyDescent="0.3">
      <c r="A24" s="3"/>
      <c r="B24" s="3" t="s">
        <v>149</v>
      </c>
      <c r="C24" s="4">
        <v>300</v>
      </c>
      <c r="D24" s="3"/>
    </row>
    <row r="25" spans="1:4" x14ac:dyDescent="0.3">
      <c r="A25" s="3"/>
      <c r="B25" s="3" t="s">
        <v>150</v>
      </c>
      <c r="C25" s="4">
        <v>400</v>
      </c>
      <c r="D25" s="3"/>
    </row>
    <row r="26" spans="1:4" x14ac:dyDescent="0.3">
      <c r="A26" s="3"/>
      <c r="B26" s="3" t="s">
        <v>151</v>
      </c>
      <c r="C26" s="4">
        <v>300</v>
      </c>
      <c r="D26" s="3"/>
    </row>
    <row r="27" spans="1:4" x14ac:dyDescent="0.3">
      <c r="A27" s="3"/>
      <c r="B27" s="3"/>
      <c r="C27" s="3"/>
      <c r="D27" s="3"/>
    </row>
    <row r="28" spans="1:4" x14ac:dyDescent="0.3">
      <c r="A28" s="3"/>
      <c r="B28" s="3"/>
      <c r="C28" s="4">
        <f>SUM(C4:C26)</f>
        <v>55300</v>
      </c>
      <c r="D28" s="4">
        <v>55300</v>
      </c>
    </row>
    <row r="29" spans="1:4" x14ac:dyDescent="0.3">
      <c r="A29" s="3"/>
      <c r="B29" s="3"/>
      <c r="C29" s="3"/>
      <c r="D29" s="3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B5BC-BC27-4B78-A634-CA8AC688C9F3}">
  <dimension ref="A1:H25"/>
  <sheetViews>
    <sheetView workbookViewId="0">
      <selection activeCell="F11" sqref="F11"/>
    </sheetView>
  </sheetViews>
  <sheetFormatPr defaultRowHeight="14.4" x14ac:dyDescent="0.3"/>
  <cols>
    <col min="1" max="1" width="37.109375" customWidth="1"/>
    <col min="2" max="2" width="12" customWidth="1"/>
    <col min="3" max="3" width="35.109375" customWidth="1"/>
    <col min="4" max="4" width="11" customWidth="1"/>
  </cols>
  <sheetData>
    <row r="1" spans="1:8" x14ac:dyDescent="0.3">
      <c r="A1" s="28" t="s">
        <v>152</v>
      </c>
      <c r="B1" s="28"/>
      <c r="C1" s="28"/>
      <c r="D1" s="28"/>
    </row>
    <row r="2" spans="1:8" x14ac:dyDescent="0.3">
      <c r="A2" s="3"/>
      <c r="B2" s="3"/>
      <c r="C2" s="3"/>
      <c r="D2" s="3"/>
    </row>
    <row r="3" spans="1:8" ht="16.8" x14ac:dyDescent="0.3">
      <c r="A3" s="21" t="s">
        <v>155</v>
      </c>
      <c r="B3" s="22" t="s">
        <v>157</v>
      </c>
      <c r="C3" s="21" t="s">
        <v>156</v>
      </c>
      <c r="D3" s="22" t="s">
        <v>157</v>
      </c>
    </row>
    <row r="4" spans="1:8" ht="16.8" x14ac:dyDescent="0.3">
      <c r="A4" s="23" t="s">
        <v>158</v>
      </c>
      <c r="B4" s="24">
        <v>1350</v>
      </c>
      <c r="C4" s="23" t="s">
        <v>159</v>
      </c>
      <c r="D4" s="24">
        <v>40000</v>
      </c>
    </row>
    <row r="5" spans="1:8" ht="16.8" x14ac:dyDescent="0.3">
      <c r="A5" s="23" t="s">
        <v>160</v>
      </c>
      <c r="B5" s="27">
        <v>200</v>
      </c>
      <c r="C5" s="23" t="s">
        <v>161</v>
      </c>
      <c r="D5" s="24">
        <v>2300</v>
      </c>
    </row>
    <row r="6" spans="1:8" ht="16.8" x14ac:dyDescent="0.3">
      <c r="A6" s="23" t="s">
        <v>162</v>
      </c>
      <c r="B6" s="27">
        <v>300</v>
      </c>
      <c r="C6" s="23" t="s">
        <v>163</v>
      </c>
      <c r="D6" s="24">
        <v>5000</v>
      </c>
    </row>
    <row r="7" spans="1:8" ht="16.8" x14ac:dyDescent="0.3">
      <c r="A7" s="23" t="s">
        <v>164</v>
      </c>
      <c r="B7" s="27">
        <v>950</v>
      </c>
      <c r="C7" s="23" t="s">
        <v>165</v>
      </c>
      <c r="D7" s="24">
        <v>3000</v>
      </c>
    </row>
    <row r="8" spans="1:8" ht="16.8" x14ac:dyDescent="0.3">
      <c r="A8" s="23" t="s">
        <v>166</v>
      </c>
      <c r="B8" s="24">
        <v>1150</v>
      </c>
      <c r="C8" s="23"/>
      <c r="D8" s="27"/>
    </row>
    <row r="9" spans="1:8" ht="16.8" x14ac:dyDescent="0.3">
      <c r="A9" s="25" t="s">
        <v>167</v>
      </c>
      <c r="B9" s="26">
        <v>2700</v>
      </c>
      <c r="C9" s="23"/>
      <c r="D9" s="27"/>
    </row>
    <row r="10" spans="1:8" ht="16.8" x14ac:dyDescent="0.3">
      <c r="A10" s="23" t="s">
        <v>168</v>
      </c>
      <c r="B10" s="27">
        <v>400</v>
      </c>
      <c r="C10" s="23"/>
      <c r="D10" s="27"/>
      <c r="H10" s="17"/>
    </row>
    <row r="11" spans="1:8" ht="16.8" x14ac:dyDescent="0.3">
      <c r="A11" s="23" t="s">
        <v>169</v>
      </c>
      <c r="B11" s="27">
        <v>650</v>
      </c>
      <c r="C11" s="23"/>
      <c r="D11" s="27"/>
      <c r="H11" s="17"/>
    </row>
    <row r="12" spans="1:8" ht="16.8" x14ac:dyDescent="0.3">
      <c r="A12" s="23" t="s">
        <v>170</v>
      </c>
      <c r="B12" s="27">
        <v>250</v>
      </c>
      <c r="C12" s="23"/>
      <c r="D12" s="27"/>
    </row>
    <row r="13" spans="1:8" ht="16.8" x14ac:dyDescent="0.3">
      <c r="A13" s="23" t="s">
        <v>171</v>
      </c>
      <c r="B13" s="24">
        <v>1000</v>
      </c>
      <c r="C13" s="23"/>
      <c r="D13" s="27"/>
    </row>
    <row r="14" spans="1:8" ht="16.8" x14ac:dyDescent="0.3">
      <c r="A14" s="23" t="s">
        <v>172</v>
      </c>
      <c r="B14" s="27">
        <v>350</v>
      </c>
      <c r="C14" s="23"/>
      <c r="D14" s="27"/>
    </row>
    <row r="15" spans="1:8" ht="16.8" x14ac:dyDescent="0.3">
      <c r="A15" s="23" t="s">
        <v>173</v>
      </c>
      <c r="B15" s="27">
        <v>300</v>
      </c>
      <c r="C15" s="23"/>
      <c r="D15" s="27"/>
    </row>
    <row r="16" spans="1:8" ht="16.8" x14ac:dyDescent="0.3">
      <c r="A16" s="23" t="s">
        <v>174</v>
      </c>
      <c r="B16" s="27">
        <v>300</v>
      </c>
      <c r="C16" s="23"/>
      <c r="D16" s="27"/>
    </row>
    <row r="17" spans="1:4" ht="16.8" x14ac:dyDescent="0.3">
      <c r="A17" s="23" t="s">
        <v>175</v>
      </c>
      <c r="B17" s="27">
        <v>400</v>
      </c>
      <c r="C17" s="23"/>
      <c r="D17" s="27"/>
    </row>
    <row r="18" spans="1:4" ht="16.8" x14ac:dyDescent="0.3">
      <c r="A18" s="23" t="s">
        <v>176</v>
      </c>
      <c r="B18" s="27">
        <v>300</v>
      </c>
      <c r="C18" s="23"/>
      <c r="D18" s="27"/>
    </row>
    <row r="19" spans="1:4" ht="16.8" x14ac:dyDescent="0.3">
      <c r="A19" s="25"/>
      <c r="B19" s="26"/>
      <c r="C19" s="25"/>
      <c r="D19" s="26"/>
    </row>
    <row r="20" spans="1:4" ht="16.8" x14ac:dyDescent="0.3">
      <c r="A20" s="23" t="s">
        <v>177</v>
      </c>
      <c r="B20" s="24">
        <v>39700</v>
      </c>
      <c r="C20" s="25"/>
      <c r="D20" s="26"/>
    </row>
    <row r="21" spans="1:4" ht="16.8" x14ac:dyDescent="0.3">
      <c r="A21" s="25" t="s">
        <v>83</v>
      </c>
      <c r="B21" s="26">
        <v>50300</v>
      </c>
      <c r="C21" s="25" t="s">
        <v>83</v>
      </c>
      <c r="D21" s="26">
        <v>50300</v>
      </c>
    </row>
    <row r="22" spans="1:4" x14ac:dyDescent="0.3">
      <c r="A22" s="3"/>
      <c r="B22" s="4"/>
      <c r="C22" s="3"/>
      <c r="D22" s="3"/>
    </row>
    <row r="23" spans="1:4" x14ac:dyDescent="0.3">
      <c r="B23" s="17"/>
    </row>
    <row r="25" spans="1:4" x14ac:dyDescent="0.3">
      <c r="B25" s="17"/>
      <c r="C25" s="17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C4C1-111C-4937-B990-D6A6A680A122}">
  <dimension ref="A1:D8"/>
  <sheetViews>
    <sheetView tabSelected="1" workbookViewId="0">
      <selection activeCell="H8" sqref="H8"/>
    </sheetView>
  </sheetViews>
  <sheetFormatPr defaultRowHeight="14.4" x14ac:dyDescent="0.3"/>
  <cols>
    <col min="1" max="1" width="32.6640625" customWidth="1"/>
    <col min="2" max="2" width="14.109375" customWidth="1"/>
    <col min="3" max="3" width="35.21875" customWidth="1"/>
    <col min="4" max="4" width="12.77734375" customWidth="1"/>
  </cols>
  <sheetData>
    <row r="1" spans="1:4" ht="33.6" customHeight="1" x14ac:dyDescent="0.3">
      <c r="A1" s="29" t="s">
        <v>183</v>
      </c>
      <c r="B1" s="29"/>
      <c r="C1" s="29"/>
      <c r="D1" s="29"/>
    </row>
    <row r="2" spans="1:4" ht="16.8" x14ac:dyDescent="0.3">
      <c r="A2" s="21" t="s">
        <v>153</v>
      </c>
      <c r="B2" s="22" t="s">
        <v>157</v>
      </c>
      <c r="C2" s="21" t="s">
        <v>154</v>
      </c>
      <c r="D2" s="22" t="s">
        <v>157</v>
      </c>
    </row>
    <row r="3" spans="1:4" ht="16.8" x14ac:dyDescent="0.3">
      <c r="A3" s="23" t="s">
        <v>178</v>
      </c>
      <c r="B3" s="24">
        <v>1500</v>
      </c>
      <c r="C3" s="23" t="s">
        <v>71</v>
      </c>
      <c r="D3" s="24">
        <v>41300</v>
      </c>
    </row>
    <row r="4" spans="1:4" ht="16.8" x14ac:dyDescent="0.3">
      <c r="A4" s="25" t="s">
        <v>179</v>
      </c>
      <c r="B4" s="26">
        <v>44700</v>
      </c>
      <c r="C4" s="23" t="s">
        <v>180</v>
      </c>
      <c r="D4" s="24">
        <v>1900</v>
      </c>
    </row>
    <row r="5" spans="1:4" ht="16.8" x14ac:dyDescent="0.3">
      <c r="A5" s="23"/>
      <c r="B5" s="27"/>
      <c r="C5" s="23" t="s">
        <v>181</v>
      </c>
      <c r="D5" s="24">
        <v>5000</v>
      </c>
    </row>
    <row r="6" spans="1:4" ht="33.6" x14ac:dyDescent="0.3">
      <c r="A6" s="23"/>
      <c r="B6" s="27"/>
      <c r="C6" s="25" t="s">
        <v>182</v>
      </c>
      <c r="D6" s="26">
        <v>39700</v>
      </c>
    </row>
    <row r="7" spans="1:4" ht="16.8" x14ac:dyDescent="0.3">
      <c r="A7" s="25" t="s">
        <v>83</v>
      </c>
      <c r="B7" s="26">
        <v>46200</v>
      </c>
      <c r="C7" s="25" t="s">
        <v>83</v>
      </c>
      <c r="D7" s="26">
        <v>48200</v>
      </c>
    </row>
    <row r="8" spans="1:4" x14ac:dyDescent="0.3">
      <c r="A8" s="3"/>
      <c r="B8" s="3"/>
      <c r="C8" s="3"/>
      <c r="D8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</vt:lpstr>
      <vt:lpstr>journal</vt:lpstr>
      <vt:lpstr>ledger</vt:lpstr>
      <vt:lpstr>Trial</vt:lpstr>
      <vt:lpstr>income and expenditure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Mariselvam</dc:creator>
  <cp:lastModifiedBy>Sakthi Mariselvam</cp:lastModifiedBy>
  <dcterms:created xsi:type="dcterms:W3CDTF">2026-08-31T05:07:11Z</dcterms:created>
  <dcterms:modified xsi:type="dcterms:W3CDTF">2026-08-31T06:52:36Z</dcterms:modified>
</cp:coreProperties>
</file>